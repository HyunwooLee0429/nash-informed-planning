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SW-IPG/RSW/"/>
    </mc:Choice>
  </mc:AlternateContent>
  <xr:revisionPtr revIDLastSave="146" documentId="8_{0AC79FB1-F6E1-4923-85B3-20FD84BD3FFD}" xr6:coauthVersionLast="47" xr6:coauthVersionMax="47" xr10:uidLastSave="{E541F920-78D3-478C-923F-5257F2263C42}"/>
  <bookViews>
    <workbookView xWindow="38280" yWindow="-120" windowWidth="38640" windowHeight="21120" activeTab="3" xr2:uid="{DA3C977D-BE9B-43DB-AEC3-99403E9A3FF6}"/>
  </bookViews>
  <sheets>
    <sheet name="100%" sheetId="5" r:id="rId1"/>
    <sheet name="50%" sheetId="6" r:id="rId2"/>
    <sheet name="75%" sheetId="8" r:id="rId3"/>
    <sheet name="125%" sheetId="7" r:id="rId4"/>
    <sheet name="WIP" sheetId="2" r:id="rId5"/>
    <sheet name="processed" sheetId="10" r:id="rId6"/>
    <sheet name="processing" sheetId="9" r:id="rId7"/>
    <sheet name="original" sheetId="1" r:id="rId8"/>
  </sheets>
  <definedNames>
    <definedName name="_xlnm._FilterDatabase" localSheetId="5" hidden="1">processed!$A$1:$D$1</definedName>
    <definedName name="_xlnm._FilterDatabase" localSheetId="6" hidden="1">processing!$A$1:$D$1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5" l="1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11" i="9"/>
  <c r="D11" i="9"/>
  <c r="B11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2" i="10"/>
  <c r="C71" i="9"/>
  <c r="D71" i="9"/>
  <c r="B71" i="9"/>
  <c r="C68" i="9"/>
  <c r="D68" i="9"/>
  <c r="C58" i="9"/>
  <c r="D58" i="9"/>
  <c r="B58" i="9"/>
  <c r="C55" i="9"/>
  <c r="D55" i="9"/>
  <c r="B55" i="9"/>
  <c r="C35" i="9"/>
  <c r="D35" i="9"/>
  <c r="B35" i="9"/>
  <c r="C29" i="9"/>
  <c r="D29" i="9"/>
  <c r="B29" i="9"/>
  <c r="C21" i="9"/>
  <c r="D21" i="9"/>
  <c r="B21" i="9"/>
  <c r="C14" i="9"/>
  <c r="C66" i="9" s="1"/>
  <c r="C67" i="9" s="1"/>
  <c r="D14" i="9"/>
  <c r="D66" i="9" s="1"/>
  <c r="D67" i="9" s="1"/>
  <c r="B14" i="9"/>
  <c r="B15" i="9" s="1"/>
  <c r="D44" i="9"/>
  <c r="D46" i="9" s="1"/>
  <c r="C44" i="9"/>
  <c r="C46" i="9" s="1"/>
  <c r="B44" i="9"/>
  <c r="B46" i="9" s="1"/>
  <c r="D28" i="1"/>
  <c r="E28" i="1"/>
  <c r="C28" i="1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E3" i="1"/>
  <c r="M32" i="1"/>
  <c r="M33" i="1"/>
  <c r="M34" i="1"/>
  <c r="M35" i="1"/>
  <c r="M36" i="1"/>
  <c r="M37" i="1"/>
  <c r="M38" i="1"/>
  <c r="M39" i="1"/>
  <c r="M40" i="1"/>
  <c r="M41" i="1"/>
  <c r="M42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0" i="1"/>
  <c r="M31" i="1"/>
  <c r="M6" i="1"/>
  <c r="M5" i="1"/>
  <c r="D15" i="9" l="1"/>
  <c r="C15" i="9"/>
  <c r="B66" i="9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6" i="1"/>
  <c r="L7" i="1"/>
  <c r="L8" i="1"/>
  <c r="L9" i="1"/>
  <c r="L10" i="1"/>
  <c r="L11" i="1"/>
  <c r="L12" i="1"/>
  <c r="L13" i="1"/>
  <c r="L5" i="1"/>
  <c r="B67" i="9" l="1"/>
  <c r="B68" i="9" s="1"/>
  <c r="L1" i="1"/>
  <c r="L2" i="1"/>
  <c r="L3" i="1"/>
  <c r="C3" i="1" l="1"/>
</calcChain>
</file>

<file path=xl/sharedStrings.xml><?xml version="1.0" encoding="utf-8"?>
<sst xmlns="http://schemas.openxmlformats.org/spreadsheetml/2006/main" count="547" uniqueCount="155">
  <si>
    <t>Aitkin County</t>
  </si>
  <si>
    <t>Anoka County</t>
  </si>
  <si>
    <t>Becker County</t>
  </si>
  <si>
    <t>Beltrami County</t>
  </si>
  <si>
    <t>Blue Earth County</t>
  </si>
  <si>
    <t>Blue Lake Improvement District</t>
  </si>
  <si>
    <t>Carver County</t>
  </si>
  <si>
    <t>Cass County</t>
  </si>
  <si>
    <t>Chisago County</t>
  </si>
  <si>
    <t>City of Shorewood</t>
  </si>
  <si>
    <t>Clearwater SWCD</t>
  </si>
  <si>
    <t>Comfort Lake Forest Lake Watershed District</t>
  </si>
  <si>
    <t>Cook County SWCD</t>
  </si>
  <si>
    <t>Dakota County</t>
  </si>
  <si>
    <t>Crow Wing County</t>
  </si>
  <si>
    <t>Douglas County</t>
  </si>
  <si>
    <t>Fanny Lake Improvement District</t>
  </si>
  <si>
    <t>Goodhue County</t>
  </si>
  <si>
    <t>Grand Lake Township</t>
  </si>
  <si>
    <t>Hennepin County</t>
  </si>
  <si>
    <t>Hubbard County</t>
  </si>
  <si>
    <t>Carlton County</t>
  </si>
  <si>
    <t>Kanabec SWCD</t>
  </si>
  <si>
    <t>Kandiyohi County</t>
  </si>
  <si>
    <t>Itasca County</t>
  </si>
  <si>
    <t>Koochiching County</t>
  </si>
  <si>
    <t>Lake of the Woods Soil and Water Conservation District</t>
  </si>
  <si>
    <t>LeSueur County</t>
  </si>
  <si>
    <t>LeSueur County Sheriff</t>
  </si>
  <si>
    <t>Leech Lake Band of Ojibwe</t>
  </si>
  <si>
    <t>Long Lake Improvement District</t>
  </si>
  <si>
    <t>Meeker County</t>
  </si>
  <si>
    <t>Minneapolis Park and Recreation Board</t>
  </si>
  <si>
    <t>North St. Louis Soil and Water Conservation District</t>
  </si>
  <si>
    <t>Otter Tail County</t>
  </si>
  <si>
    <t>Pine County</t>
  </si>
  <si>
    <t>Polk County</t>
  </si>
  <si>
    <t>Prior Lake Spring Lake Watershed District</t>
  </si>
  <si>
    <t>Ramsey County</t>
  </si>
  <si>
    <t>Roseau County</t>
  </si>
  <si>
    <t>City of Buffalo</t>
  </si>
  <si>
    <t>Kittson County</t>
  </si>
  <si>
    <t>Ruth Lake Improvement District</t>
  </si>
  <si>
    <t>Scott County</t>
  </si>
  <si>
    <t>Sherburne SWCD</t>
  </si>
  <si>
    <t>Stearns County</t>
  </si>
  <si>
    <t>Steele County</t>
  </si>
  <si>
    <t>Todd SWCD</t>
  </si>
  <si>
    <t>Three Rivers Park District</t>
  </si>
  <si>
    <t>Wadena Soil and Water Conservation District</t>
  </si>
  <si>
    <t>Waseca County</t>
  </si>
  <si>
    <t>Wright County</t>
  </si>
  <si>
    <t>Washington Conservation District</t>
  </si>
  <si>
    <t>City of Waterville</t>
  </si>
  <si>
    <t>Total Hours</t>
  </si>
  <si>
    <t>County names</t>
    <phoneticPr fontId="2" type="noConversion"/>
  </si>
  <si>
    <t>Staff</t>
  </si>
  <si>
    <t>Aitkin</t>
  </si>
  <si>
    <t>Anoka</t>
  </si>
  <si>
    <t>Becker</t>
  </si>
  <si>
    <t>Beltrami</t>
  </si>
  <si>
    <t>Blue Earth</t>
  </si>
  <si>
    <t>Carlton</t>
  </si>
  <si>
    <t>Carver</t>
  </si>
  <si>
    <t>Cass</t>
  </si>
  <si>
    <t>Chisago</t>
  </si>
  <si>
    <t>Cook</t>
  </si>
  <si>
    <t>Crow Wing</t>
  </si>
  <si>
    <t>Dakota</t>
  </si>
  <si>
    <t>Douglas</t>
  </si>
  <si>
    <t>Hubbard</t>
  </si>
  <si>
    <t>Itasca</t>
  </si>
  <si>
    <t>Kanabec</t>
  </si>
  <si>
    <t>Kandiyohi</t>
  </si>
  <si>
    <t>Kittson</t>
  </si>
  <si>
    <t>Koochiching</t>
  </si>
  <si>
    <t>Lake</t>
  </si>
  <si>
    <t>Lake of the Woods</t>
  </si>
  <si>
    <t>Le Sueur</t>
  </si>
  <si>
    <t>Meeker</t>
  </si>
  <si>
    <t>Otter Tail</t>
  </si>
  <si>
    <t>Pine</t>
  </si>
  <si>
    <t>Polk</t>
  </si>
  <si>
    <t xml:space="preserve">Ramsey </t>
  </si>
  <si>
    <t>Roseau</t>
  </si>
  <si>
    <t>Sherburne</t>
  </si>
  <si>
    <t>St Louis</t>
  </si>
  <si>
    <t>Stearns</t>
  </si>
  <si>
    <t>Steele</t>
  </si>
  <si>
    <t>Todd</t>
  </si>
  <si>
    <t>Wadena</t>
  </si>
  <si>
    <t>Washington</t>
  </si>
  <si>
    <t>Wright</t>
  </si>
  <si>
    <t>Total Hours</t>
    <phoneticPr fontId="2" type="noConversion"/>
  </si>
  <si>
    <t># accesses covered by inspectors</t>
  </si>
  <si>
    <t># Accesses</t>
    <phoneticPr fontId="2" type="noConversion"/>
  </si>
  <si>
    <t>County Names</t>
    <phoneticPr fontId="2" type="noConversion"/>
  </si>
  <si>
    <t>Isanti County Zoning</t>
    <phoneticPr fontId="2" type="noConversion"/>
  </si>
  <si>
    <t>Avg Hours</t>
    <phoneticPr fontId="2" type="noConversion"/>
  </si>
  <si>
    <t>Min</t>
    <phoneticPr fontId="2" type="noConversion"/>
  </si>
  <si>
    <t>Max</t>
    <phoneticPr fontId="2" type="noConversion"/>
  </si>
  <si>
    <t>Avg</t>
    <phoneticPr fontId="2" type="noConversion"/>
  </si>
  <si>
    <t>LGU_End_of_Season_Summary (60 counties)</t>
    <phoneticPr fontId="2" type="noConversion"/>
  </si>
  <si>
    <t xml:space="preserve"> </t>
    <phoneticPr fontId="2" type="noConversion"/>
  </si>
  <si>
    <t>Metrics-Combined-WIP (40 cts)</t>
    <phoneticPr fontId="2" type="noConversion"/>
  </si>
  <si>
    <t>Corrected Name</t>
  </si>
  <si>
    <t>aitkin</t>
  </si>
  <si>
    <t>anoka</t>
  </si>
  <si>
    <t>becker</t>
  </si>
  <si>
    <t>beltrami</t>
  </si>
  <si>
    <t>carlton</t>
  </si>
  <si>
    <t>carver</t>
  </si>
  <si>
    <t>cass</t>
  </si>
  <si>
    <t>chisago</t>
  </si>
  <si>
    <t>cook</t>
  </si>
  <si>
    <t>dakota</t>
  </si>
  <si>
    <t>douglas</t>
  </si>
  <si>
    <t>hubbard</t>
  </si>
  <si>
    <t>itasca</t>
  </si>
  <si>
    <t>kanabec</t>
  </si>
  <si>
    <t>kandiyohi</t>
  </si>
  <si>
    <t>kittson</t>
  </si>
  <si>
    <t>koochiching</t>
  </si>
  <si>
    <t>blue earth</t>
  </si>
  <si>
    <t>crow wing</t>
  </si>
  <si>
    <t>lake of the woods</t>
  </si>
  <si>
    <t>le sueur</t>
  </si>
  <si>
    <t>otter tail</t>
  </si>
  <si>
    <t>lake</t>
  </si>
  <si>
    <t>meeker</t>
  </si>
  <si>
    <t>pine</t>
  </si>
  <si>
    <t>polk</t>
  </si>
  <si>
    <t>ramsey</t>
  </si>
  <si>
    <t>roseau</t>
  </si>
  <si>
    <t>sherburne</t>
  </si>
  <si>
    <t>stearns</t>
  </si>
  <si>
    <t>steele</t>
  </si>
  <si>
    <t>todd</t>
  </si>
  <si>
    <t>wadena</t>
  </si>
  <si>
    <t>washington</t>
  </si>
  <si>
    <t>wright</t>
  </si>
  <si>
    <t>saint louis</t>
  </si>
  <si>
    <t>County</t>
  </si>
  <si>
    <t>Number of inspection stations</t>
  </si>
  <si>
    <t>LeSueur Merged</t>
  </si>
  <si>
    <t>City of Fifty Lakes</t>
  </si>
  <si>
    <t>hennepin</t>
  </si>
  <si>
    <t>chisago and washington</t>
  </si>
  <si>
    <t>clearwater</t>
  </si>
  <si>
    <t>goodhue</t>
  </si>
  <si>
    <t>isanti</t>
  </si>
  <si>
    <t>scott</t>
  </si>
  <si>
    <t>waseca</t>
  </si>
  <si>
    <t>*Unknown / copy from WIP</t>
  </si>
  <si>
    <t>Isanti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</si>
</sst>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charset val="129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charset val="129"/>
      <scheme val="minor"/>
    </font>
    <font>
      <b/>
      <sz val="11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name val="Aptos Narrow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7" fillId="3" borderId="1" xfId="0" applyFont="1" applyFill="1" applyBorder="1" applyAlignment="1">
      <alignment horizontal="center" wrapText="1"/>
    </xf>
    <xf numFmtId="43" fontId="3" fillId="3" borderId="1" xfId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43" fontId="5" fillId="3" borderId="1" xfId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43" fontId="5" fillId="3" borderId="1" xfId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 wrapText="1"/>
    </xf>
    <xf numFmtId="0" fontId="6" fillId="2" borderId="1" xfId="0" applyFont="1" applyFill="1" applyBorder="1" applyAlignment="1"/>
    <xf numFmtId="0" fontId="0" fillId="2" borderId="1" xfId="0" applyFill="1" applyBorder="1" applyAlignment="1"/>
    <xf numFmtId="0" fontId="0" fillId="3" borderId="1" xfId="0" applyFill="1" applyBorder="1">
      <alignment vertical="center"/>
    </xf>
    <xf numFmtId="43" fontId="0" fillId="4" borderId="0" xfId="0" applyNumberFormat="1" applyFill="1">
      <alignment vertical="center"/>
    </xf>
    <xf numFmtId="0" fontId="0" fillId="4" borderId="1" xfId="0" applyFill="1" applyBorder="1">
      <alignment vertical="center"/>
    </xf>
    <xf numFmtId="43" fontId="0" fillId="4" borderId="1" xfId="0" applyNumberFormat="1" applyFill="1" applyBorder="1">
      <alignment vertical="center"/>
    </xf>
    <xf numFmtId="0" fontId="0" fillId="5" borderId="0" xfId="0" applyFill="1">
      <alignment vertical="center"/>
    </xf>
    <xf numFmtId="43" fontId="0" fillId="5" borderId="1" xfId="0" applyNumberFormat="1" applyFill="1" applyBorder="1">
      <alignment vertical="center"/>
    </xf>
    <xf numFmtId="0" fontId="7" fillId="0" borderId="1" xfId="0" applyFont="1" applyBorder="1" applyAlignment="1">
      <alignment horizontal="center" wrapText="1"/>
    </xf>
    <xf numFmtId="43" fontId="3" fillId="0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3" fontId="5" fillId="0" borderId="1" xfId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3" fontId="0" fillId="0" borderId="1" xfId="0" applyNumberFormat="1" applyBorder="1">
      <alignment vertical="center"/>
    </xf>
    <xf numFmtId="43" fontId="5" fillId="0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1" applyNumberFormat="1" applyFont="1" applyFill="1" applyBorder="1" applyAlignment="1">
      <alignment horizontal="center" wrapText="1"/>
    </xf>
    <xf numFmtId="2" fontId="0" fillId="0" borderId="1" xfId="0" applyNumberFormat="1" applyBorder="1">
      <alignment vertical="center"/>
    </xf>
    <xf numFmtId="0" fontId="8" fillId="0" borderId="1" xfId="0" applyFont="1" applyBorder="1">
      <alignment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8" fillId="5" borderId="1" xfId="0" applyFont="1" applyFill="1" applyBorder="1">
      <alignment vertical="center"/>
    </xf>
    <xf numFmtId="0" fontId="6" fillId="0" borderId="0" xfId="0" applyFont="1" applyAlignment="1"/>
    <xf numFmtId="0" fontId="0" fillId="0" borderId="0" xfId="0" applyAlignment="1"/>
    <xf numFmtId="0" fontId="6" fillId="0" borderId="1" xfId="0" applyFont="1" applyBorder="1" applyAlignment="1"/>
    <xf numFmtId="0" fontId="4" fillId="6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left" wrapText="1"/>
    </xf>
    <xf numFmtId="43" fontId="9" fillId="6" borderId="1" xfId="1" applyFont="1" applyFill="1" applyBorder="1" applyAlignment="1">
      <alignment horizontal="center" wrapText="1"/>
    </xf>
    <xf numFmtId="0" fontId="6" fillId="0" borderId="1" xfId="0" applyFont="1" applyFill="1" applyBorder="1" applyAlignment="1"/>
    <xf numFmtId="0" fontId="0" fillId="0" borderId="1" xfId="0" applyFill="1" applyBorder="1" applyAlignment="1"/>
    <xf numFmtId="0" fontId="4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43" fontId="9" fillId="0" borderId="1" xfId="1" applyFont="1" applyFill="1" applyBorder="1" applyAlignment="1">
      <alignment horizontal="center" wrapText="1"/>
    </xf>
    <xf numFmtId="0" fontId="0" fillId="0" borderId="0" xfId="0" applyFill="1" applyBorder="1" applyAlignment="1"/>
    <xf numFmtId="0" fontId="0" fillId="0" borderId="0" xfId="0" applyBorder="1">
      <alignment vertical="center"/>
    </xf>
    <xf numFmtId="9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0F93-6A5A-4453-BD20-77C3D088108A}">
  <dimension ref="A1:E42"/>
  <sheetViews>
    <sheetView workbookViewId="0">
      <selection activeCell="A2" sqref="A2:D42"/>
    </sheetView>
  </sheetViews>
  <sheetFormatPr defaultColWidth="8.875" defaultRowHeight="13.5"/>
  <cols>
    <col min="1" max="1" width="16" bestFit="1" customWidth="1"/>
    <col min="2" max="2" width="12" bestFit="1" customWidth="1"/>
    <col min="5" max="5" width="27.875" bestFit="1" customWidth="1"/>
  </cols>
  <sheetData>
    <row r="1" spans="1:5">
      <c r="A1" s="22" t="s">
        <v>142</v>
      </c>
      <c r="B1" s="40" t="s">
        <v>54</v>
      </c>
      <c r="C1" s="40" t="s">
        <v>56</v>
      </c>
      <c r="D1" s="40" t="s">
        <v>95</v>
      </c>
      <c r="E1" s="32" t="s">
        <v>143</v>
      </c>
    </row>
    <row r="2" spans="1:5">
      <c r="A2" s="34" t="s">
        <v>106</v>
      </c>
      <c r="B2" s="45">
        <v>5281</v>
      </c>
      <c r="C2" s="45">
        <v>20</v>
      </c>
      <c r="D2" s="45">
        <v>19</v>
      </c>
      <c r="E2">
        <f>ROUNDDOWN(B2/500,0)</f>
        <v>10</v>
      </c>
    </row>
    <row r="3" spans="1:5">
      <c r="A3" s="34" t="s">
        <v>107</v>
      </c>
      <c r="B3" s="45">
        <v>3390</v>
      </c>
      <c r="C3" s="45">
        <v>7</v>
      </c>
      <c r="D3" s="45">
        <v>17</v>
      </c>
      <c r="E3">
        <f t="shared" ref="E3:E42" si="0">ROUNDDOWN(B3/500,0)</f>
        <v>6</v>
      </c>
    </row>
    <row r="4" spans="1:5">
      <c r="A4" s="34" t="s">
        <v>108</v>
      </c>
      <c r="B4" s="45">
        <v>12843</v>
      </c>
      <c r="C4" s="45">
        <v>29</v>
      </c>
      <c r="D4" s="45">
        <v>24</v>
      </c>
      <c r="E4">
        <f t="shared" si="0"/>
        <v>25</v>
      </c>
    </row>
    <row r="5" spans="1:5">
      <c r="A5" s="34" t="s">
        <v>109</v>
      </c>
      <c r="B5" s="45">
        <v>4639</v>
      </c>
      <c r="C5" s="45">
        <v>10</v>
      </c>
      <c r="D5" s="45">
        <v>27</v>
      </c>
      <c r="E5">
        <f t="shared" si="0"/>
        <v>9</v>
      </c>
    </row>
    <row r="6" spans="1:5">
      <c r="A6" s="34" t="s">
        <v>123</v>
      </c>
      <c r="B6" s="45">
        <v>1976</v>
      </c>
      <c r="C6" s="45">
        <v>19</v>
      </c>
      <c r="D6" s="45">
        <v>7</v>
      </c>
      <c r="E6">
        <f t="shared" si="0"/>
        <v>3</v>
      </c>
    </row>
    <row r="7" spans="1:5">
      <c r="A7" s="34" t="s">
        <v>110</v>
      </c>
      <c r="B7" s="45">
        <v>1262.75</v>
      </c>
      <c r="C7" s="45">
        <v>7</v>
      </c>
      <c r="D7" s="45">
        <v>15</v>
      </c>
      <c r="E7">
        <f t="shared" si="0"/>
        <v>2</v>
      </c>
    </row>
    <row r="8" spans="1:5">
      <c r="A8" s="34" t="s">
        <v>111</v>
      </c>
      <c r="B8" s="45">
        <v>14026.25</v>
      </c>
      <c r="C8" s="45">
        <v>33</v>
      </c>
      <c r="D8" s="45">
        <v>50</v>
      </c>
      <c r="E8">
        <f t="shared" si="0"/>
        <v>28</v>
      </c>
    </row>
    <row r="9" spans="1:5">
      <c r="A9" s="34" t="s">
        <v>112</v>
      </c>
      <c r="B9" s="45">
        <v>5649.25</v>
      </c>
      <c r="C9" s="45">
        <v>21</v>
      </c>
      <c r="D9" s="45">
        <v>10</v>
      </c>
      <c r="E9">
        <f t="shared" si="0"/>
        <v>11</v>
      </c>
    </row>
    <row r="10" spans="1:5">
      <c r="A10" s="34" t="s">
        <v>113</v>
      </c>
      <c r="B10" s="45">
        <v>7008.375</v>
      </c>
      <c r="C10" s="45">
        <v>20</v>
      </c>
      <c r="D10" s="45">
        <v>24.5</v>
      </c>
      <c r="E10">
        <f t="shared" si="0"/>
        <v>14</v>
      </c>
    </row>
    <row r="11" spans="1:5">
      <c r="A11" s="34" t="s">
        <v>148</v>
      </c>
      <c r="B11" s="45">
        <v>3150</v>
      </c>
      <c r="C11" s="45">
        <v>11</v>
      </c>
      <c r="D11" s="45">
        <v>11</v>
      </c>
      <c r="E11">
        <f t="shared" si="0"/>
        <v>6</v>
      </c>
    </row>
    <row r="12" spans="1:5">
      <c r="A12" s="34" t="s">
        <v>114</v>
      </c>
      <c r="B12" s="45">
        <v>1230</v>
      </c>
      <c r="C12" s="45">
        <v>3</v>
      </c>
      <c r="D12" s="45">
        <v>21</v>
      </c>
      <c r="E12">
        <f t="shared" si="0"/>
        <v>2</v>
      </c>
    </row>
    <row r="13" spans="1:5">
      <c r="A13" s="34" t="s">
        <v>124</v>
      </c>
      <c r="B13" s="45">
        <v>15970.5</v>
      </c>
      <c r="C13" s="45">
        <v>40</v>
      </c>
      <c r="D13" s="45">
        <v>39</v>
      </c>
      <c r="E13">
        <f t="shared" si="0"/>
        <v>31</v>
      </c>
    </row>
    <row r="14" spans="1:5">
      <c r="A14" s="34" t="s">
        <v>115</v>
      </c>
      <c r="B14" s="45">
        <v>2256.5</v>
      </c>
      <c r="C14" s="45">
        <v>19</v>
      </c>
      <c r="D14" s="45">
        <v>4</v>
      </c>
      <c r="E14">
        <f t="shared" si="0"/>
        <v>4</v>
      </c>
    </row>
    <row r="15" spans="1:5">
      <c r="A15" s="34" t="s">
        <v>116</v>
      </c>
      <c r="B15" s="45">
        <v>2770</v>
      </c>
      <c r="C15" s="45">
        <v>10</v>
      </c>
      <c r="D15" s="45">
        <v>21</v>
      </c>
      <c r="E15">
        <f t="shared" si="0"/>
        <v>5</v>
      </c>
    </row>
    <row r="16" spans="1:5">
      <c r="A16" s="34" t="s">
        <v>149</v>
      </c>
      <c r="B16" s="45">
        <v>502</v>
      </c>
      <c r="C16" s="45">
        <v>3</v>
      </c>
      <c r="D16" s="45">
        <v>1</v>
      </c>
      <c r="E16">
        <f t="shared" si="0"/>
        <v>1</v>
      </c>
    </row>
    <row r="17" spans="1:5">
      <c r="A17" s="34" t="s">
        <v>146</v>
      </c>
      <c r="B17" s="45">
        <v>18050.5</v>
      </c>
      <c r="C17" s="45">
        <v>120</v>
      </c>
      <c r="D17" s="45">
        <v>34</v>
      </c>
      <c r="E17">
        <f t="shared" si="0"/>
        <v>36</v>
      </c>
    </row>
    <row r="18" spans="1:5">
      <c r="A18" s="34" t="s">
        <v>117</v>
      </c>
      <c r="B18" s="45">
        <v>16327</v>
      </c>
      <c r="C18" s="45">
        <v>44</v>
      </c>
      <c r="D18" s="45">
        <v>34</v>
      </c>
      <c r="E18">
        <f t="shared" si="0"/>
        <v>32</v>
      </c>
    </row>
    <row r="19" spans="1:5">
      <c r="A19" s="34" t="s">
        <v>150</v>
      </c>
      <c r="B19" s="45">
        <v>4418</v>
      </c>
      <c r="C19" s="45">
        <v>18</v>
      </c>
      <c r="D19" s="45">
        <v>11</v>
      </c>
      <c r="E19">
        <f t="shared" si="0"/>
        <v>8</v>
      </c>
    </row>
    <row r="20" spans="1:5">
      <c r="A20" s="34" t="s">
        <v>118</v>
      </c>
      <c r="B20" s="45">
        <v>14355</v>
      </c>
      <c r="C20" s="45">
        <v>28</v>
      </c>
      <c r="D20" s="45">
        <v>23</v>
      </c>
      <c r="E20">
        <f t="shared" si="0"/>
        <v>28</v>
      </c>
    </row>
    <row r="21" spans="1:5">
      <c r="A21" s="34" t="s">
        <v>119</v>
      </c>
      <c r="B21" s="45">
        <v>387</v>
      </c>
      <c r="C21" s="45">
        <v>1</v>
      </c>
      <c r="D21" s="45">
        <v>10</v>
      </c>
      <c r="E21">
        <f t="shared" si="0"/>
        <v>0</v>
      </c>
    </row>
    <row r="22" spans="1:5">
      <c r="A22" s="34" t="s">
        <v>120</v>
      </c>
      <c r="B22" s="45">
        <v>3712.5</v>
      </c>
      <c r="C22" s="45">
        <v>21</v>
      </c>
      <c r="D22" s="45">
        <v>12</v>
      </c>
      <c r="E22">
        <f t="shared" si="0"/>
        <v>7</v>
      </c>
    </row>
    <row r="23" spans="1:5">
      <c r="A23" s="34" t="s">
        <v>121</v>
      </c>
      <c r="B23" s="45">
        <v>177</v>
      </c>
      <c r="C23" s="45">
        <v>1</v>
      </c>
      <c r="D23" s="45">
        <v>2</v>
      </c>
      <c r="E23">
        <f t="shared" si="0"/>
        <v>0</v>
      </c>
    </row>
    <row r="24" spans="1:5">
      <c r="A24" s="34" t="s">
        <v>122</v>
      </c>
      <c r="B24" s="45">
        <v>1742</v>
      </c>
      <c r="C24" s="45">
        <v>5</v>
      </c>
      <c r="D24" s="45">
        <v>5</v>
      </c>
      <c r="E24">
        <f t="shared" si="0"/>
        <v>3</v>
      </c>
    </row>
    <row r="25" spans="1:5">
      <c r="A25" s="34" t="s">
        <v>125</v>
      </c>
      <c r="B25" s="45">
        <v>957.75</v>
      </c>
      <c r="C25" s="45">
        <v>5</v>
      </c>
      <c r="D25" s="45">
        <v>2</v>
      </c>
      <c r="E25">
        <f t="shared" si="0"/>
        <v>1</v>
      </c>
    </row>
    <row r="26" spans="1:5">
      <c r="A26" s="34" t="s">
        <v>126</v>
      </c>
      <c r="B26" s="45">
        <v>7280.75</v>
      </c>
      <c r="C26" s="45">
        <v>38</v>
      </c>
      <c r="D26" s="45">
        <v>93</v>
      </c>
      <c r="E26">
        <f t="shared" si="0"/>
        <v>14</v>
      </c>
    </row>
    <row r="27" spans="1:5">
      <c r="A27" s="35" t="s">
        <v>129</v>
      </c>
      <c r="B27" s="45">
        <v>5871.53</v>
      </c>
      <c r="C27" s="45">
        <v>14</v>
      </c>
      <c r="D27" s="45">
        <v>17</v>
      </c>
      <c r="E27">
        <f t="shared" si="0"/>
        <v>11</v>
      </c>
    </row>
    <row r="28" spans="1:5">
      <c r="A28" s="47" t="s">
        <v>127</v>
      </c>
      <c r="B28" s="45">
        <v>10810</v>
      </c>
      <c r="C28" s="45">
        <v>24</v>
      </c>
      <c r="D28" s="45">
        <v>101</v>
      </c>
      <c r="E28">
        <f t="shared" si="0"/>
        <v>21</v>
      </c>
    </row>
    <row r="29" spans="1:5">
      <c r="A29" s="35" t="s">
        <v>130</v>
      </c>
      <c r="B29" s="48">
        <v>730.5</v>
      </c>
      <c r="C29" s="45">
        <v>4</v>
      </c>
      <c r="D29" s="45">
        <v>7</v>
      </c>
      <c r="E29">
        <f t="shared" si="0"/>
        <v>1</v>
      </c>
    </row>
    <row r="30" spans="1:5">
      <c r="A30" s="35" t="s">
        <v>131</v>
      </c>
      <c r="B30" s="45">
        <v>1052</v>
      </c>
      <c r="C30" s="45">
        <v>3</v>
      </c>
      <c r="D30" s="45">
        <v>11</v>
      </c>
      <c r="E30">
        <f t="shared" si="0"/>
        <v>2</v>
      </c>
    </row>
    <row r="31" spans="1:5">
      <c r="A31" s="35" t="s">
        <v>132</v>
      </c>
      <c r="B31" s="45">
        <v>1987</v>
      </c>
      <c r="C31" s="45">
        <v>16</v>
      </c>
      <c r="D31" s="45">
        <v>11</v>
      </c>
      <c r="E31">
        <f t="shared" si="0"/>
        <v>3</v>
      </c>
    </row>
    <row r="32" spans="1:5">
      <c r="A32" s="35" t="s">
        <v>133</v>
      </c>
      <c r="B32" s="45">
        <v>936</v>
      </c>
      <c r="C32" s="45">
        <v>3</v>
      </c>
      <c r="D32" s="45">
        <v>3</v>
      </c>
      <c r="E32">
        <f t="shared" si="0"/>
        <v>1</v>
      </c>
    </row>
    <row r="33" spans="1:5">
      <c r="A33" s="35" t="s">
        <v>141</v>
      </c>
      <c r="B33" s="49">
        <v>14071.25</v>
      </c>
      <c r="C33" s="49">
        <v>37</v>
      </c>
      <c r="D33" s="49">
        <v>28</v>
      </c>
      <c r="E33">
        <f t="shared" si="0"/>
        <v>28</v>
      </c>
    </row>
    <row r="34" spans="1:5">
      <c r="A34" s="34" t="s">
        <v>151</v>
      </c>
      <c r="B34" s="45">
        <v>2283</v>
      </c>
      <c r="C34" s="45">
        <v>21</v>
      </c>
      <c r="D34" s="45">
        <v>9</v>
      </c>
      <c r="E34">
        <f t="shared" si="0"/>
        <v>4</v>
      </c>
    </row>
    <row r="35" spans="1:5">
      <c r="A35" s="35" t="s">
        <v>134</v>
      </c>
      <c r="B35" s="45">
        <v>964.7</v>
      </c>
      <c r="C35" s="45">
        <v>6</v>
      </c>
      <c r="D35" s="45">
        <v>10</v>
      </c>
      <c r="E35">
        <f t="shared" si="0"/>
        <v>1</v>
      </c>
    </row>
    <row r="36" spans="1:5">
      <c r="A36" s="35" t="s">
        <v>135</v>
      </c>
      <c r="B36" s="45">
        <v>6845.5</v>
      </c>
      <c r="C36" s="45">
        <v>38</v>
      </c>
      <c r="D36" s="45">
        <v>10</v>
      </c>
      <c r="E36">
        <f t="shared" si="0"/>
        <v>13</v>
      </c>
    </row>
    <row r="37" spans="1:5">
      <c r="A37" s="35" t="s">
        <v>136</v>
      </c>
      <c r="B37" s="45">
        <v>484</v>
      </c>
      <c r="C37" s="45">
        <v>2</v>
      </c>
      <c r="D37" s="45">
        <v>1</v>
      </c>
      <c r="E37">
        <f t="shared" si="0"/>
        <v>0</v>
      </c>
    </row>
    <row r="38" spans="1:5">
      <c r="A38" s="35" t="s">
        <v>137</v>
      </c>
      <c r="B38" s="45">
        <v>5471.25</v>
      </c>
      <c r="C38" s="45">
        <v>12</v>
      </c>
      <c r="D38" s="45">
        <v>29</v>
      </c>
      <c r="E38">
        <f t="shared" si="0"/>
        <v>10</v>
      </c>
    </row>
    <row r="39" spans="1:5">
      <c r="A39" s="35" t="s">
        <v>138</v>
      </c>
      <c r="B39" s="45">
        <v>1038.75</v>
      </c>
      <c r="C39" s="45">
        <v>4</v>
      </c>
      <c r="D39" s="45">
        <v>4</v>
      </c>
      <c r="E39">
        <f t="shared" si="0"/>
        <v>2</v>
      </c>
    </row>
    <row r="40" spans="1:5">
      <c r="A40" s="34" t="s">
        <v>152</v>
      </c>
      <c r="B40" s="45">
        <v>690</v>
      </c>
      <c r="C40" s="45">
        <v>5</v>
      </c>
      <c r="D40" s="45">
        <v>4</v>
      </c>
      <c r="E40">
        <f t="shared" si="0"/>
        <v>1</v>
      </c>
    </row>
    <row r="41" spans="1:5">
      <c r="A41" s="35" t="s">
        <v>139</v>
      </c>
      <c r="B41" s="45">
        <v>8803.75</v>
      </c>
      <c r="C41" s="45">
        <v>28</v>
      </c>
      <c r="D41" s="45">
        <v>41</v>
      </c>
      <c r="E41">
        <f t="shared" si="0"/>
        <v>17</v>
      </c>
    </row>
    <row r="42" spans="1:5">
      <c r="A42" s="34" t="s">
        <v>140</v>
      </c>
      <c r="B42">
        <v>10206.5</v>
      </c>
      <c r="C42">
        <v>32</v>
      </c>
      <c r="D42">
        <v>46</v>
      </c>
      <c r="E42">
        <f t="shared" si="0"/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7099-DA86-4AD0-97D0-7E8A854935D3}">
  <dimension ref="A1:E42"/>
  <sheetViews>
    <sheetView workbookViewId="0">
      <selection activeCell="E2" sqref="E2:E42"/>
    </sheetView>
  </sheetViews>
  <sheetFormatPr defaultColWidth="8.875" defaultRowHeight="13.5"/>
  <cols>
    <col min="1" max="1" width="16" bestFit="1" customWidth="1"/>
    <col min="2" max="2" width="12" bestFit="1" customWidth="1"/>
    <col min="5" max="5" width="27.875" bestFit="1" customWidth="1"/>
  </cols>
  <sheetData>
    <row r="1" spans="1:5">
      <c r="A1" s="22" t="s">
        <v>142</v>
      </c>
      <c r="B1" s="40" t="s">
        <v>54</v>
      </c>
      <c r="C1" s="40" t="s">
        <v>56</v>
      </c>
      <c r="D1" s="40" t="s">
        <v>95</v>
      </c>
      <c r="E1" s="32" t="s">
        <v>143</v>
      </c>
    </row>
    <row r="2" spans="1:5">
      <c r="A2" s="34" t="s">
        <v>106</v>
      </c>
      <c r="B2" s="45">
        <v>5281</v>
      </c>
      <c r="C2" s="45">
        <v>20</v>
      </c>
      <c r="D2" s="45">
        <v>19</v>
      </c>
      <c r="E2">
        <v>5</v>
      </c>
    </row>
    <row r="3" spans="1:5">
      <c r="A3" s="34" t="s">
        <v>107</v>
      </c>
      <c r="B3" s="45">
        <v>3390</v>
      </c>
      <c r="C3" s="45">
        <v>7</v>
      </c>
      <c r="D3" s="45">
        <v>17</v>
      </c>
      <c r="E3">
        <v>3</v>
      </c>
    </row>
    <row r="4" spans="1:5">
      <c r="A4" s="34" t="s">
        <v>108</v>
      </c>
      <c r="B4" s="45">
        <v>12843</v>
      </c>
      <c r="C4" s="45">
        <v>29</v>
      </c>
      <c r="D4" s="45">
        <v>24</v>
      </c>
      <c r="E4">
        <v>12</v>
      </c>
    </row>
    <row r="5" spans="1:5">
      <c r="A5" s="34" t="s">
        <v>109</v>
      </c>
      <c r="B5" s="45">
        <v>4639</v>
      </c>
      <c r="C5" s="45">
        <v>10</v>
      </c>
      <c r="D5" s="45">
        <v>27</v>
      </c>
      <c r="E5">
        <v>4</v>
      </c>
    </row>
    <row r="6" spans="1:5">
      <c r="A6" s="34" t="s">
        <v>123</v>
      </c>
      <c r="B6" s="45">
        <v>1976</v>
      </c>
      <c r="C6" s="45">
        <v>19</v>
      </c>
      <c r="D6" s="45">
        <v>7</v>
      </c>
      <c r="E6">
        <v>1</v>
      </c>
    </row>
    <row r="7" spans="1:5">
      <c r="A7" s="34" t="s">
        <v>110</v>
      </c>
      <c r="B7" s="45">
        <v>1262.75</v>
      </c>
      <c r="C7" s="45">
        <v>7</v>
      </c>
      <c r="D7" s="45">
        <v>15</v>
      </c>
      <c r="E7">
        <v>1</v>
      </c>
    </row>
    <row r="8" spans="1:5">
      <c r="A8" s="34" t="s">
        <v>111</v>
      </c>
      <c r="B8" s="45">
        <v>14026.25</v>
      </c>
      <c r="C8" s="45">
        <v>33</v>
      </c>
      <c r="D8" s="45">
        <v>50</v>
      </c>
      <c r="E8">
        <v>14</v>
      </c>
    </row>
    <row r="9" spans="1:5">
      <c r="A9" s="34" t="s">
        <v>112</v>
      </c>
      <c r="B9" s="45">
        <v>5649.25</v>
      </c>
      <c r="C9" s="45">
        <v>21</v>
      </c>
      <c r="D9" s="45">
        <v>10</v>
      </c>
      <c r="E9">
        <v>5</v>
      </c>
    </row>
    <row r="10" spans="1:5">
      <c r="A10" s="34" t="s">
        <v>113</v>
      </c>
      <c r="B10" s="45">
        <v>7008.375</v>
      </c>
      <c r="C10" s="45">
        <v>20</v>
      </c>
      <c r="D10" s="45">
        <v>24.5</v>
      </c>
      <c r="E10">
        <v>7</v>
      </c>
    </row>
    <row r="11" spans="1:5">
      <c r="A11" s="34" t="s">
        <v>148</v>
      </c>
      <c r="B11" s="45">
        <v>3150</v>
      </c>
      <c r="C11" s="45">
        <v>11</v>
      </c>
      <c r="D11" s="45">
        <v>11</v>
      </c>
      <c r="E11">
        <v>3</v>
      </c>
    </row>
    <row r="12" spans="1:5">
      <c r="A12" s="34" t="s">
        <v>114</v>
      </c>
      <c r="B12" s="45">
        <v>1230</v>
      </c>
      <c r="C12" s="45">
        <v>3</v>
      </c>
      <c r="D12" s="45">
        <v>21</v>
      </c>
      <c r="E12">
        <v>1</v>
      </c>
    </row>
    <row r="13" spans="1:5">
      <c r="A13" s="34" t="s">
        <v>124</v>
      </c>
      <c r="B13" s="45">
        <v>15970.5</v>
      </c>
      <c r="C13" s="45">
        <v>40</v>
      </c>
      <c r="D13" s="45">
        <v>39</v>
      </c>
      <c r="E13">
        <v>15</v>
      </c>
    </row>
    <row r="14" spans="1:5">
      <c r="A14" s="34" t="s">
        <v>115</v>
      </c>
      <c r="B14" s="45">
        <v>2256.5</v>
      </c>
      <c r="C14" s="45">
        <v>19</v>
      </c>
      <c r="D14" s="45">
        <v>4</v>
      </c>
      <c r="E14">
        <v>2</v>
      </c>
    </row>
    <row r="15" spans="1:5">
      <c r="A15" s="34" t="s">
        <v>116</v>
      </c>
      <c r="B15" s="45">
        <v>2770</v>
      </c>
      <c r="C15" s="45">
        <v>10</v>
      </c>
      <c r="D15" s="45">
        <v>21</v>
      </c>
      <c r="E15">
        <v>2</v>
      </c>
    </row>
    <row r="16" spans="1:5">
      <c r="A16" s="34" t="s">
        <v>149</v>
      </c>
      <c r="B16" s="45">
        <v>502</v>
      </c>
      <c r="C16" s="45">
        <v>3</v>
      </c>
      <c r="D16" s="45">
        <v>1</v>
      </c>
      <c r="E16">
        <v>0</v>
      </c>
    </row>
    <row r="17" spans="1:5">
      <c r="A17" s="34" t="s">
        <v>146</v>
      </c>
      <c r="B17" s="45">
        <v>18050.5</v>
      </c>
      <c r="C17" s="45">
        <v>120</v>
      </c>
      <c r="D17" s="45">
        <v>34</v>
      </c>
      <c r="E17">
        <v>18</v>
      </c>
    </row>
    <row r="18" spans="1:5">
      <c r="A18" s="34" t="s">
        <v>117</v>
      </c>
      <c r="B18" s="45">
        <v>16327</v>
      </c>
      <c r="C18" s="45">
        <v>44</v>
      </c>
      <c r="D18" s="45">
        <v>34</v>
      </c>
      <c r="E18">
        <v>16</v>
      </c>
    </row>
    <row r="19" spans="1:5">
      <c r="A19" s="34" t="s">
        <v>150</v>
      </c>
      <c r="B19" s="45">
        <v>4418</v>
      </c>
      <c r="C19" s="45">
        <v>18</v>
      </c>
      <c r="D19" s="45">
        <v>11</v>
      </c>
      <c r="E19">
        <v>4</v>
      </c>
    </row>
    <row r="20" spans="1:5">
      <c r="A20" s="34" t="s">
        <v>118</v>
      </c>
      <c r="B20" s="45">
        <v>14355</v>
      </c>
      <c r="C20" s="45">
        <v>28</v>
      </c>
      <c r="D20" s="45">
        <v>23</v>
      </c>
      <c r="E20">
        <v>14</v>
      </c>
    </row>
    <row r="21" spans="1:5">
      <c r="A21" s="34" t="s">
        <v>119</v>
      </c>
      <c r="B21" s="45">
        <v>387</v>
      </c>
      <c r="C21" s="45">
        <v>1</v>
      </c>
      <c r="D21" s="45">
        <v>10</v>
      </c>
      <c r="E21">
        <v>0</v>
      </c>
    </row>
    <row r="22" spans="1:5">
      <c r="A22" s="34" t="s">
        <v>120</v>
      </c>
      <c r="B22" s="45">
        <v>3712.5</v>
      </c>
      <c r="C22" s="45">
        <v>21</v>
      </c>
      <c r="D22" s="45">
        <v>12</v>
      </c>
      <c r="E22">
        <v>3</v>
      </c>
    </row>
    <row r="23" spans="1:5">
      <c r="A23" s="34" t="s">
        <v>121</v>
      </c>
      <c r="B23" s="45">
        <v>177</v>
      </c>
      <c r="C23" s="45">
        <v>1</v>
      </c>
      <c r="D23" s="45">
        <v>2</v>
      </c>
      <c r="E23">
        <v>0</v>
      </c>
    </row>
    <row r="24" spans="1:5">
      <c r="A24" s="34" t="s">
        <v>122</v>
      </c>
      <c r="B24" s="45">
        <v>1742</v>
      </c>
      <c r="C24" s="45">
        <v>5</v>
      </c>
      <c r="D24" s="45">
        <v>5</v>
      </c>
      <c r="E24">
        <v>1</v>
      </c>
    </row>
    <row r="25" spans="1:5">
      <c r="A25" s="34" t="s">
        <v>125</v>
      </c>
      <c r="B25" s="45">
        <v>957.75</v>
      </c>
      <c r="C25" s="45">
        <v>5</v>
      </c>
      <c r="D25" s="45">
        <v>2</v>
      </c>
      <c r="E25">
        <v>0</v>
      </c>
    </row>
    <row r="26" spans="1:5">
      <c r="A26" s="34" t="s">
        <v>126</v>
      </c>
      <c r="B26" s="45">
        <v>7280.75</v>
      </c>
      <c r="C26" s="45">
        <v>38</v>
      </c>
      <c r="D26" s="45">
        <v>93</v>
      </c>
      <c r="E26">
        <v>7</v>
      </c>
    </row>
    <row r="27" spans="1:5">
      <c r="A27" s="35" t="s">
        <v>129</v>
      </c>
      <c r="B27" s="45">
        <v>5871.53</v>
      </c>
      <c r="C27" s="45">
        <v>14</v>
      </c>
      <c r="D27" s="45">
        <v>17</v>
      </c>
      <c r="E27">
        <v>5</v>
      </c>
    </row>
    <row r="28" spans="1:5">
      <c r="A28" s="47" t="s">
        <v>127</v>
      </c>
      <c r="B28" s="45">
        <v>10810</v>
      </c>
      <c r="C28" s="45">
        <v>24</v>
      </c>
      <c r="D28" s="45">
        <v>101</v>
      </c>
      <c r="E28">
        <v>10</v>
      </c>
    </row>
    <row r="29" spans="1:5">
      <c r="A29" s="35" t="s">
        <v>130</v>
      </c>
      <c r="B29" s="48">
        <v>730.5</v>
      </c>
      <c r="C29" s="45">
        <v>4</v>
      </c>
      <c r="D29" s="45">
        <v>7</v>
      </c>
      <c r="E29">
        <v>0</v>
      </c>
    </row>
    <row r="30" spans="1:5">
      <c r="A30" s="35" t="s">
        <v>131</v>
      </c>
      <c r="B30" s="45">
        <v>1052</v>
      </c>
      <c r="C30" s="45">
        <v>3</v>
      </c>
      <c r="D30" s="45">
        <v>11</v>
      </c>
      <c r="E30">
        <v>1</v>
      </c>
    </row>
    <row r="31" spans="1:5">
      <c r="A31" s="35" t="s">
        <v>132</v>
      </c>
      <c r="B31" s="45">
        <v>1987</v>
      </c>
      <c r="C31" s="45">
        <v>16</v>
      </c>
      <c r="D31" s="45">
        <v>11</v>
      </c>
      <c r="E31">
        <v>1</v>
      </c>
    </row>
    <row r="32" spans="1:5">
      <c r="A32" s="35" t="s">
        <v>133</v>
      </c>
      <c r="B32" s="45">
        <v>936</v>
      </c>
      <c r="C32" s="45">
        <v>3</v>
      </c>
      <c r="D32" s="45">
        <v>3</v>
      </c>
      <c r="E32">
        <v>0</v>
      </c>
    </row>
    <row r="33" spans="1:5">
      <c r="A33" s="35" t="s">
        <v>141</v>
      </c>
      <c r="B33" s="49">
        <v>14071.25</v>
      </c>
      <c r="C33" s="49">
        <v>37</v>
      </c>
      <c r="D33" s="49">
        <v>28</v>
      </c>
      <c r="E33">
        <v>14</v>
      </c>
    </row>
    <row r="34" spans="1:5">
      <c r="A34" s="34" t="s">
        <v>151</v>
      </c>
      <c r="B34" s="45">
        <v>2283</v>
      </c>
      <c r="C34" s="45">
        <v>21</v>
      </c>
      <c r="D34" s="45">
        <v>9</v>
      </c>
      <c r="E34">
        <v>2</v>
      </c>
    </row>
    <row r="35" spans="1:5">
      <c r="A35" s="35" t="s">
        <v>134</v>
      </c>
      <c r="B35" s="45">
        <v>964.7</v>
      </c>
      <c r="C35" s="45">
        <v>6</v>
      </c>
      <c r="D35" s="45">
        <v>10</v>
      </c>
      <c r="E35">
        <v>0</v>
      </c>
    </row>
    <row r="36" spans="1:5">
      <c r="A36" s="35" t="s">
        <v>135</v>
      </c>
      <c r="B36" s="45">
        <v>6845.5</v>
      </c>
      <c r="C36" s="45">
        <v>38</v>
      </c>
      <c r="D36" s="45">
        <v>10</v>
      </c>
      <c r="E36">
        <v>6</v>
      </c>
    </row>
    <row r="37" spans="1:5">
      <c r="A37" s="35" t="s">
        <v>136</v>
      </c>
      <c r="B37" s="45">
        <v>484</v>
      </c>
      <c r="C37" s="45">
        <v>2</v>
      </c>
      <c r="D37" s="45">
        <v>1</v>
      </c>
      <c r="E37">
        <v>0</v>
      </c>
    </row>
    <row r="38" spans="1:5">
      <c r="A38" s="35" t="s">
        <v>137</v>
      </c>
      <c r="B38" s="45">
        <v>5471.25</v>
      </c>
      <c r="C38" s="45">
        <v>12</v>
      </c>
      <c r="D38" s="45">
        <v>29</v>
      </c>
      <c r="E38">
        <v>5</v>
      </c>
    </row>
    <row r="39" spans="1:5">
      <c r="A39" s="35" t="s">
        <v>138</v>
      </c>
      <c r="B39" s="45">
        <v>1038.75</v>
      </c>
      <c r="C39" s="45">
        <v>4</v>
      </c>
      <c r="D39" s="45">
        <v>4</v>
      </c>
      <c r="E39">
        <v>1</v>
      </c>
    </row>
    <row r="40" spans="1:5">
      <c r="A40" s="34" t="s">
        <v>152</v>
      </c>
      <c r="B40" s="45">
        <v>690</v>
      </c>
      <c r="C40" s="45">
        <v>5</v>
      </c>
      <c r="D40" s="45">
        <v>4</v>
      </c>
      <c r="E40">
        <v>0</v>
      </c>
    </row>
    <row r="41" spans="1:5">
      <c r="A41" s="35" t="s">
        <v>139</v>
      </c>
      <c r="B41" s="45">
        <v>8803.75</v>
      </c>
      <c r="C41" s="45">
        <v>28</v>
      </c>
      <c r="D41" s="45">
        <v>41</v>
      </c>
      <c r="E41">
        <v>8</v>
      </c>
    </row>
    <row r="42" spans="1:5">
      <c r="A42" s="34" t="s">
        <v>140</v>
      </c>
      <c r="B42">
        <v>10206.5</v>
      </c>
      <c r="C42">
        <v>32</v>
      </c>
      <c r="D42">
        <v>46</v>
      </c>
      <c r="E4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A8E2-77BC-4FE1-9E60-45E25BCC8CEC}">
  <dimension ref="A1:E42"/>
  <sheetViews>
    <sheetView workbookViewId="0">
      <selection activeCell="E2" sqref="E2:E42"/>
    </sheetView>
  </sheetViews>
  <sheetFormatPr defaultColWidth="8.875" defaultRowHeight="13.5"/>
  <cols>
    <col min="1" max="1" width="16" bestFit="1" customWidth="1"/>
    <col min="2" max="2" width="12" bestFit="1" customWidth="1"/>
    <col min="5" max="5" width="27.875" bestFit="1" customWidth="1"/>
  </cols>
  <sheetData>
    <row r="1" spans="1:5">
      <c r="A1" s="22" t="s">
        <v>142</v>
      </c>
      <c r="B1" s="40" t="s">
        <v>54</v>
      </c>
      <c r="C1" s="40" t="s">
        <v>56</v>
      </c>
      <c r="D1" s="40" t="s">
        <v>95</v>
      </c>
      <c r="E1" s="32" t="s">
        <v>143</v>
      </c>
    </row>
    <row r="2" spans="1:5">
      <c r="A2" s="34" t="s">
        <v>106</v>
      </c>
      <c r="B2" s="45">
        <v>5281</v>
      </c>
      <c r="C2" s="45">
        <v>20</v>
      </c>
      <c r="D2" s="45">
        <v>19</v>
      </c>
      <c r="E2">
        <v>7</v>
      </c>
    </row>
    <row r="3" spans="1:5">
      <c r="A3" s="34" t="s">
        <v>107</v>
      </c>
      <c r="B3" s="45">
        <v>3390</v>
      </c>
      <c r="C3" s="45">
        <v>7</v>
      </c>
      <c r="D3" s="45">
        <v>17</v>
      </c>
      <c r="E3">
        <v>5</v>
      </c>
    </row>
    <row r="4" spans="1:5">
      <c r="A4" s="34" t="s">
        <v>108</v>
      </c>
      <c r="B4" s="45">
        <v>12843</v>
      </c>
      <c r="C4" s="45">
        <v>29</v>
      </c>
      <c r="D4" s="45">
        <v>24</v>
      </c>
      <c r="E4">
        <v>19</v>
      </c>
    </row>
    <row r="5" spans="1:5">
      <c r="A5" s="34" t="s">
        <v>109</v>
      </c>
      <c r="B5" s="45">
        <v>4639</v>
      </c>
      <c r="C5" s="45">
        <v>10</v>
      </c>
      <c r="D5" s="45">
        <v>27</v>
      </c>
      <c r="E5">
        <v>6</v>
      </c>
    </row>
    <row r="6" spans="1:5">
      <c r="A6" s="34" t="s">
        <v>123</v>
      </c>
      <c r="B6" s="45">
        <v>1976</v>
      </c>
      <c r="C6" s="45">
        <v>19</v>
      </c>
      <c r="D6" s="45">
        <v>7</v>
      </c>
      <c r="E6">
        <v>2</v>
      </c>
    </row>
    <row r="7" spans="1:5">
      <c r="A7" s="34" t="s">
        <v>110</v>
      </c>
      <c r="B7" s="45">
        <v>1262.75</v>
      </c>
      <c r="C7" s="45">
        <v>7</v>
      </c>
      <c r="D7" s="45">
        <v>15</v>
      </c>
      <c r="E7">
        <v>1</v>
      </c>
    </row>
    <row r="8" spans="1:5">
      <c r="A8" s="34" t="s">
        <v>111</v>
      </c>
      <c r="B8" s="45">
        <v>14026.25</v>
      </c>
      <c r="C8" s="45">
        <v>33</v>
      </c>
      <c r="D8" s="45">
        <v>50</v>
      </c>
      <c r="E8">
        <v>21</v>
      </c>
    </row>
    <row r="9" spans="1:5">
      <c r="A9" s="34" t="s">
        <v>112</v>
      </c>
      <c r="B9" s="45">
        <v>5649.25</v>
      </c>
      <c r="C9" s="45">
        <v>21</v>
      </c>
      <c r="D9" s="45">
        <v>10</v>
      </c>
      <c r="E9">
        <v>8</v>
      </c>
    </row>
    <row r="10" spans="1:5">
      <c r="A10" s="34" t="s">
        <v>113</v>
      </c>
      <c r="B10" s="45">
        <v>7008.375</v>
      </c>
      <c r="C10" s="45">
        <v>20</v>
      </c>
      <c r="D10" s="45">
        <v>24.5</v>
      </c>
      <c r="E10">
        <v>10</v>
      </c>
    </row>
    <row r="11" spans="1:5">
      <c r="A11" s="34" t="s">
        <v>148</v>
      </c>
      <c r="B11" s="45">
        <v>3150</v>
      </c>
      <c r="C11" s="45">
        <v>11</v>
      </c>
      <c r="D11" s="45">
        <v>11</v>
      </c>
      <c r="E11">
        <v>4</v>
      </c>
    </row>
    <row r="12" spans="1:5">
      <c r="A12" s="34" t="s">
        <v>114</v>
      </c>
      <c r="B12" s="45">
        <v>1230</v>
      </c>
      <c r="C12" s="45">
        <v>3</v>
      </c>
      <c r="D12" s="45">
        <v>21</v>
      </c>
      <c r="E12">
        <v>1</v>
      </c>
    </row>
    <row r="13" spans="1:5">
      <c r="A13" s="34" t="s">
        <v>124</v>
      </c>
      <c r="B13" s="45">
        <v>15970.5</v>
      </c>
      <c r="C13" s="45">
        <v>40</v>
      </c>
      <c r="D13" s="45">
        <v>39</v>
      </c>
      <c r="E13">
        <v>23</v>
      </c>
    </row>
    <row r="14" spans="1:5">
      <c r="A14" s="34" t="s">
        <v>115</v>
      </c>
      <c r="B14" s="45">
        <v>2256.5</v>
      </c>
      <c r="C14" s="45">
        <v>19</v>
      </c>
      <c r="D14" s="45">
        <v>4</v>
      </c>
      <c r="E14">
        <v>3</v>
      </c>
    </row>
    <row r="15" spans="1:5">
      <c r="A15" s="34" t="s">
        <v>116</v>
      </c>
      <c r="B15" s="45">
        <v>2770</v>
      </c>
      <c r="C15" s="45">
        <v>10</v>
      </c>
      <c r="D15" s="45">
        <v>21</v>
      </c>
      <c r="E15">
        <v>4</v>
      </c>
    </row>
    <row r="16" spans="1:5">
      <c r="A16" s="34" t="s">
        <v>149</v>
      </c>
      <c r="B16" s="45">
        <v>502</v>
      </c>
      <c r="C16" s="45">
        <v>3</v>
      </c>
      <c r="D16" s="45">
        <v>1</v>
      </c>
      <c r="E16">
        <v>0</v>
      </c>
    </row>
    <row r="17" spans="1:5">
      <c r="A17" s="34" t="s">
        <v>146</v>
      </c>
      <c r="B17" s="45">
        <v>18050.5</v>
      </c>
      <c r="C17" s="45">
        <v>120</v>
      </c>
      <c r="D17" s="45">
        <v>34</v>
      </c>
      <c r="E17">
        <v>27</v>
      </c>
    </row>
    <row r="18" spans="1:5">
      <c r="A18" s="34" t="s">
        <v>117</v>
      </c>
      <c r="B18" s="45">
        <v>16327</v>
      </c>
      <c r="C18" s="45">
        <v>44</v>
      </c>
      <c r="D18" s="45">
        <v>34</v>
      </c>
      <c r="E18">
        <v>24</v>
      </c>
    </row>
    <row r="19" spans="1:5">
      <c r="A19" s="34" t="s">
        <v>150</v>
      </c>
      <c r="B19" s="45">
        <v>4418</v>
      </c>
      <c r="C19" s="45">
        <v>18</v>
      </c>
      <c r="D19" s="45">
        <v>11</v>
      </c>
      <c r="E19">
        <v>6</v>
      </c>
    </row>
    <row r="20" spans="1:5">
      <c r="A20" s="34" t="s">
        <v>118</v>
      </c>
      <c r="B20" s="45">
        <v>14355</v>
      </c>
      <c r="C20" s="45">
        <v>28</v>
      </c>
      <c r="D20" s="45">
        <v>23</v>
      </c>
      <c r="E20">
        <v>21</v>
      </c>
    </row>
    <row r="21" spans="1:5">
      <c r="A21" s="34" t="s">
        <v>119</v>
      </c>
      <c r="B21" s="45">
        <v>387</v>
      </c>
      <c r="C21" s="45">
        <v>1</v>
      </c>
      <c r="D21" s="45">
        <v>10</v>
      </c>
      <c r="E21">
        <v>0</v>
      </c>
    </row>
    <row r="22" spans="1:5">
      <c r="A22" s="34" t="s">
        <v>120</v>
      </c>
      <c r="B22" s="45">
        <v>3712.5</v>
      </c>
      <c r="C22" s="45">
        <v>21</v>
      </c>
      <c r="D22" s="45">
        <v>12</v>
      </c>
      <c r="E22">
        <v>5</v>
      </c>
    </row>
    <row r="23" spans="1:5">
      <c r="A23" s="34" t="s">
        <v>121</v>
      </c>
      <c r="B23" s="45">
        <v>177</v>
      </c>
      <c r="C23" s="45">
        <v>1</v>
      </c>
      <c r="D23" s="45">
        <v>2</v>
      </c>
      <c r="E23">
        <v>0</v>
      </c>
    </row>
    <row r="24" spans="1:5">
      <c r="A24" s="34" t="s">
        <v>122</v>
      </c>
      <c r="B24" s="45">
        <v>1742</v>
      </c>
      <c r="C24" s="45">
        <v>5</v>
      </c>
      <c r="D24" s="45">
        <v>5</v>
      </c>
      <c r="E24">
        <v>2</v>
      </c>
    </row>
    <row r="25" spans="1:5">
      <c r="A25" s="34" t="s">
        <v>125</v>
      </c>
      <c r="B25" s="45">
        <v>957.75</v>
      </c>
      <c r="C25" s="45">
        <v>5</v>
      </c>
      <c r="D25" s="45">
        <v>2</v>
      </c>
      <c r="E25">
        <v>1</v>
      </c>
    </row>
    <row r="26" spans="1:5">
      <c r="A26" s="34" t="s">
        <v>126</v>
      </c>
      <c r="B26" s="45">
        <v>7280.75</v>
      </c>
      <c r="C26" s="45">
        <v>38</v>
      </c>
      <c r="D26" s="45">
        <v>93</v>
      </c>
      <c r="E26">
        <v>10</v>
      </c>
    </row>
    <row r="27" spans="1:5">
      <c r="A27" s="35" t="s">
        <v>129</v>
      </c>
      <c r="B27" s="45">
        <v>5871.53</v>
      </c>
      <c r="C27" s="45">
        <v>14</v>
      </c>
      <c r="D27" s="45">
        <v>17</v>
      </c>
      <c r="E27">
        <v>8</v>
      </c>
    </row>
    <row r="28" spans="1:5">
      <c r="A28" s="47" t="s">
        <v>127</v>
      </c>
      <c r="B28" s="45">
        <v>10810</v>
      </c>
      <c r="C28" s="45">
        <v>24</v>
      </c>
      <c r="D28" s="45">
        <v>101</v>
      </c>
      <c r="E28">
        <v>16</v>
      </c>
    </row>
    <row r="29" spans="1:5">
      <c r="A29" s="35" t="s">
        <v>130</v>
      </c>
      <c r="B29" s="48">
        <v>730.5</v>
      </c>
      <c r="C29" s="45">
        <v>4</v>
      </c>
      <c r="D29" s="45">
        <v>7</v>
      </c>
      <c r="E29">
        <v>1</v>
      </c>
    </row>
    <row r="30" spans="1:5">
      <c r="A30" s="35" t="s">
        <v>131</v>
      </c>
      <c r="B30" s="45">
        <v>1052</v>
      </c>
      <c r="C30" s="45">
        <v>3</v>
      </c>
      <c r="D30" s="45">
        <v>11</v>
      </c>
      <c r="E30">
        <v>1</v>
      </c>
    </row>
    <row r="31" spans="1:5">
      <c r="A31" s="35" t="s">
        <v>132</v>
      </c>
      <c r="B31" s="45">
        <v>1987</v>
      </c>
      <c r="C31" s="45">
        <v>16</v>
      </c>
      <c r="D31" s="45">
        <v>11</v>
      </c>
      <c r="E31">
        <v>2</v>
      </c>
    </row>
    <row r="32" spans="1:5">
      <c r="A32" s="35" t="s">
        <v>133</v>
      </c>
      <c r="B32" s="45">
        <v>936</v>
      </c>
      <c r="C32" s="45">
        <v>3</v>
      </c>
      <c r="D32" s="45">
        <v>3</v>
      </c>
      <c r="E32">
        <v>1</v>
      </c>
    </row>
    <row r="33" spans="1:5">
      <c r="A33" s="35" t="s">
        <v>141</v>
      </c>
      <c r="B33" s="49">
        <v>14071.25</v>
      </c>
      <c r="C33" s="49">
        <v>37</v>
      </c>
      <c r="D33" s="49">
        <v>28</v>
      </c>
      <c r="E33">
        <v>21</v>
      </c>
    </row>
    <row r="34" spans="1:5">
      <c r="A34" s="34" t="s">
        <v>151</v>
      </c>
      <c r="B34" s="45">
        <v>2283</v>
      </c>
      <c r="C34" s="45">
        <v>21</v>
      </c>
      <c r="D34" s="45">
        <v>9</v>
      </c>
      <c r="E34">
        <v>3</v>
      </c>
    </row>
    <row r="35" spans="1:5">
      <c r="A35" s="35" t="s">
        <v>134</v>
      </c>
      <c r="B35" s="45">
        <v>964.7</v>
      </c>
      <c r="C35" s="45">
        <v>6</v>
      </c>
      <c r="D35" s="45">
        <v>10</v>
      </c>
      <c r="E35">
        <v>1</v>
      </c>
    </row>
    <row r="36" spans="1:5">
      <c r="A36" s="35" t="s">
        <v>135</v>
      </c>
      <c r="B36" s="45">
        <v>6845.5</v>
      </c>
      <c r="C36" s="45">
        <v>38</v>
      </c>
      <c r="D36" s="45">
        <v>10</v>
      </c>
      <c r="E36">
        <v>10</v>
      </c>
    </row>
    <row r="37" spans="1:5">
      <c r="A37" s="35" t="s">
        <v>136</v>
      </c>
      <c r="B37" s="45">
        <v>484</v>
      </c>
      <c r="C37" s="45">
        <v>2</v>
      </c>
      <c r="D37" s="45">
        <v>1</v>
      </c>
      <c r="E37">
        <v>0</v>
      </c>
    </row>
    <row r="38" spans="1:5">
      <c r="A38" s="35" t="s">
        <v>137</v>
      </c>
      <c r="B38" s="45">
        <v>5471.25</v>
      </c>
      <c r="C38" s="45">
        <v>12</v>
      </c>
      <c r="D38" s="45">
        <v>29</v>
      </c>
      <c r="E38">
        <v>8</v>
      </c>
    </row>
    <row r="39" spans="1:5">
      <c r="A39" s="35" t="s">
        <v>138</v>
      </c>
      <c r="B39" s="45">
        <v>1038.75</v>
      </c>
      <c r="C39" s="45">
        <v>4</v>
      </c>
      <c r="D39" s="45">
        <v>4</v>
      </c>
      <c r="E39">
        <v>1</v>
      </c>
    </row>
    <row r="40" spans="1:5">
      <c r="A40" s="34" t="s">
        <v>152</v>
      </c>
      <c r="B40" s="45">
        <v>690</v>
      </c>
      <c r="C40" s="45">
        <v>5</v>
      </c>
      <c r="D40" s="45">
        <v>4</v>
      </c>
      <c r="E40">
        <v>1</v>
      </c>
    </row>
    <row r="41" spans="1:5">
      <c r="A41" s="35" t="s">
        <v>139</v>
      </c>
      <c r="B41" s="45">
        <v>8803.75</v>
      </c>
      <c r="C41" s="45">
        <v>28</v>
      </c>
      <c r="D41" s="45">
        <v>41</v>
      </c>
      <c r="E41">
        <v>13</v>
      </c>
    </row>
    <row r="42" spans="1:5">
      <c r="A42" s="34" t="s">
        <v>140</v>
      </c>
      <c r="B42">
        <v>10206.5</v>
      </c>
      <c r="C42">
        <v>32</v>
      </c>
      <c r="D42">
        <v>46</v>
      </c>
      <c r="E4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A84A-86DE-4E85-8DAD-6FF9C66F0C5B}">
  <dimension ref="A1:E42"/>
  <sheetViews>
    <sheetView tabSelected="1" workbookViewId="0">
      <selection activeCell="E37" sqref="E37"/>
    </sheetView>
  </sheetViews>
  <sheetFormatPr defaultColWidth="8.875" defaultRowHeight="13.5"/>
  <cols>
    <col min="1" max="1" width="16" bestFit="1" customWidth="1"/>
    <col min="2" max="2" width="12" bestFit="1" customWidth="1"/>
    <col min="5" max="5" width="27.875" bestFit="1" customWidth="1"/>
  </cols>
  <sheetData>
    <row r="1" spans="1:5">
      <c r="A1" s="22" t="s">
        <v>142</v>
      </c>
      <c r="B1" s="40" t="s">
        <v>54</v>
      </c>
      <c r="C1" s="40" t="s">
        <v>56</v>
      </c>
      <c r="D1" s="40" t="s">
        <v>95</v>
      </c>
      <c r="E1" s="32" t="s">
        <v>143</v>
      </c>
    </row>
    <row r="2" spans="1:5">
      <c r="A2" s="34" t="s">
        <v>106</v>
      </c>
      <c r="B2" s="45">
        <v>5281</v>
      </c>
      <c r="C2" s="45">
        <v>20</v>
      </c>
      <c r="D2" s="45">
        <v>19</v>
      </c>
      <c r="E2">
        <v>13</v>
      </c>
    </row>
    <row r="3" spans="1:5">
      <c r="A3" s="34" t="s">
        <v>107</v>
      </c>
      <c r="B3" s="45">
        <v>3390</v>
      </c>
      <c r="C3" s="45">
        <v>7</v>
      </c>
      <c r="D3" s="45">
        <v>17</v>
      </c>
      <c r="E3">
        <v>8</v>
      </c>
    </row>
    <row r="4" spans="1:5">
      <c r="A4" s="34" t="s">
        <v>108</v>
      </c>
      <c r="B4" s="45">
        <v>12843</v>
      </c>
      <c r="C4" s="45">
        <v>29</v>
      </c>
      <c r="D4" s="45">
        <v>24</v>
      </c>
      <c r="E4">
        <v>32</v>
      </c>
    </row>
    <row r="5" spans="1:5">
      <c r="A5" s="34" t="s">
        <v>109</v>
      </c>
      <c r="B5" s="45">
        <v>4639</v>
      </c>
      <c r="C5" s="45">
        <v>10</v>
      </c>
      <c r="D5" s="45">
        <v>27</v>
      </c>
      <c r="E5">
        <v>11</v>
      </c>
    </row>
    <row r="6" spans="1:5">
      <c r="A6" s="34" t="s">
        <v>123</v>
      </c>
      <c r="B6" s="45">
        <v>1976</v>
      </c>
      <c r="C6" s="45">
        <v>19</v>
      </c>
      <c r="D6" s="45">
        <v>7</v>
      </c>
      <c r="E6">
        <v>4</v>
      </c>
    </row>
    <row r="7" spans="1:5">
      <c r="A7" s="34" t="s">
        <v>110</v>
      </c>
      <c r="B7" s="45">
        <v>1262.75</v>
      </c>
      <c r="C7" s="45">
        <v>7</v>
      </c>
      <c r="D7" s="45">
        <v>15</v>
      </c>
      <c r="E7">
        <v>3</v>
      </c>
    </row>
    <row r="8" spans="1:5">
      <c r="A8" s="34" t="s">
        <v>111</v>
      </c>
      <c r="B8" s="45">
        <v>14026.25</v>
      </c>
      <c r="C8" s="45">
        <v>33</v>
      </c>
      <c r="D8" s="45">
        <v>50</v>
      </c>
      <c r="E8">
        <v>35</v>
      </c>
    </row>
    <row r="9" spans="1:5">
      <c r="A9" s="34" t="s">
        <v>112</v>
      </c>
      <c r="B9" s="45">
        <v>5649.25</v>
      </c>
      <c r="C9" s="45">
        <v>21</v>
      </c>
      <c r="D9" s="45">
        <v>10</v>
      </c>
      <c r="E9">
        <v>14</v>
      </c>
    </row>
    <row r="10" spans="1:5">
      <c r="A10" s="34" t="s">
        <v>113</v>
      </c>
      <c r="B10" s="45">
        <v>7008.375</v>
      </c>
      <c r="C10" s="45">
        <v>20</v>
      </c>
      <c r="D10" s="45">
        <v>24.5</v>
      </c>
      <c r="E10">
        <v>17</v>
      </c>
    </row>
    <row r="11" spans="1:5">
      <c r="A11" s="34" t="s">
        <v>148</v>
      </c>
      <c r="B11" s="45">
        <v>3150</v>
      </c>
      <c r="C11" s="45">
        <v>11</v>
      </c>
      <c r="D11" s="45">
        <v>11</v>
      </c>
      <c r="E11">
        <v>7</v>
      </c>
    </row>
    <row r="12" spans="1:5">
      <c r="A12" s="34" t="s">
        <v>114</v>
      </c>
      <c r="B12" s="45">
        <v>1230</v>
      </c>
      <c r="C12" s="45">
        <v>3</v>
      </c>
      <c r="D12" s="45">
        <v>21</v>
      </c>
      <c r="E12">
        <v>3</v>
      </c>
    </row>
    <row r="13" spans="1:5">
      <c r="A13" s="34" t="s">
        <v>124</v>
      </c>
      <c r="B13" s="45">
        <v>15970.5</v>
      </c>
      <c r="C13" s="45">
        <v>40</v>
      </c>
      <c r="D13" s="45">
        <v>39</v>
      </c>
      <c r="E13">
        <v>39</v>
      </c>
    </row>
    <row r="14" spans="1:5">
      <c r="A14" s="34" t="s">
        <v>115</v>
      </c>
      <c r="B14" s="45">
        <v>2256.5</v>
      </c>
      <c r="C14" s="45">
        <v>19</v>
      </c>
      <c r="D14" s="45">
        <v>4</v>
      </c>
      <c r="E14">
        <v>5</v>
      </c>
    </row>
    <row r="15" spans="1:5">
      <c r="A15" s="34" t="s">
        <v>116</v>
      </c>
      <c r="B15" s="45">
        <v>2770</v>
      </c>
      <c r="C15" s="45">
        <v>10</v>
      </c>
      <c r="D15" s="45">
        <v>21</v>
      </c>
      <c r="E15">
        <v>6</v>
      </c>
    </row>
    <row r="16" spans="1:5">
      <c r="A16" s="34" t="s">
        <v>149</v>
      </c>
      <c r="B16" s="45">
        <v>502</v>
      </c>
      <c r="C16" s="45">
        <v>3</v>
      </c>
      <c r="D16" s="45">
        <v>1</v>
      </c>
      <c r="E16">
        <v>1</v>
      </c>
    </row>
    <row r="17" spans="1:5">
      <c r="A17" s="34" t="s">
        <v>146</v>
      </c>
      <c r="B17" s="45">
        <v>18050.5</v>
      </c>
      <c r="C17" s="45">
        <v>120</v>
      </c>
      <c r="D17" s="45">
        <v>34</v>
      </c>
      <c r="E17">
        <v>45</v>
      </c>
    </row>
    <row r="18" spans="1:5">
      <c r="A18" s="34" t="s">
        <v>117</v>
      </c>
      <c r="B18" s="45">
        <v>16327</v>
      </c>
      <c r="C18" s="45">
        <v>44</v>
      </c>
      <c r="D18" s="45">
        <v>34</v>
      </c>
      <c r="E18">
        <v>40</v>
      </c>
    </row>
    <row r="19" spans="1:5">
      <c r="A19" s="34" t="s">
        <v>150</v>
      </c>
      <c r="B19" s="45">
        <v>4418</v>
      </c>
      <c r="C19" s="45">
        <v>18</v>
      </c>
      <c r="D19" s="45">
        <v>11</v>
      </c>
      <c r="E19">
        <v>11</v>
      </c>
    </row>
    <row r="20" spans="1:5">
      <c r="A20" s="34" t="s">
        <v>118</v>
      </c>
      <c r="B20" s="45">
        <v>14355</v>
      </c>
      <c r="C20" s="45">
        <v>28</v>
      </c>
      <c r="D20" s="45">
        <v>23</v>
      </c>
      <c r="E20">
        <v>35</v>
      </c>
    </row>
    <row r="21" spans="1:5">
      <c r="A21" s="34" t="s">
        <v>119</v>
      </c>
      <c r="B21" s="45">
        <v>387</v>
      </c>
      <c r="C21" s="45">
        <v>1</v>
      </c>
      <c r="D21" s="45">
        <v>10</v>
      </c>
      <c r="E21">
        <v>0</v>
      </c>
    </row>
    <row r="22" spans="1:5">
      <c r="A22" s="34" t="s">
        <v>120</v>
      </c>
      <c r="B22" s="45">
        <v>3712.5</v>
      </c>
      <c r="C22" s="45">
        <v>21</v>
      </c>
      <c r="D22" s="45">
        <v>12</v>
      </c>
      <c r="E22">
        <v>9</v>
      </c>
    </row>
    <row r="23" spans="1:5">
      <c r="A23" s="34" t="s">
        <v>121</v>
      </c>
      <c r="B23" s="45">
        <v>177</v>
      </c>
      <c r="C23" s="45">
        <v>1</v>
      </c>
      <c r="D23" s="45">
        <v>2</v>
      </c>
      <c r="E23">
        <v>0</v>
      </c>
    </row>
    <row r="24" spans="1:5">
      <c r="A24" s="34" t="s">
        <v>122</v>
      </c>
      <c r="B24" s="45">
        <v>1742</v>
      </c>
      <c r="C24" s="45">
        <v>5</v>
      </c>
      <c r="D24" s="45">
        <v>5</v>
      </c>
      <c r="E24">
        <v>4</v>
      </c>
    </row>
    <row r="25" spans="1:5">
      <c r="A25" s="34" t="s">
        <v>125</v>
      </c>
      <c r="B25" s="45">
        <v>957.75</v>
      </c>
      <c r="C25" s="45">
        <v>5</v>
      </c>
      <c r="D25" s="45">
        <v>2</v>
      </c>
      <c r="E25">
        <v>2</v>
      </c>
    </row>
    <row r="26" spans="1:5">
      <c r="A26" s="34" t="s">
        <v>126</v>
      </c>
      <c r="B26" s="45">
        <v>7280.75</v>
      </c>
      <c r="C26" s="45">
        <v>38</v>
      </c>
      <c r="D26" s="45">
        <v>93</v>
      </c>
      <c r="E26">
        <v>18</v>
      </c>
    </row>
    <row r="27" spans="1:5">
      <c r="A27" s="35" t="s">
        <v>129</v>
      </c>
      <c r="B27" s="45">
        <v>5871.53</v>
      </c>
      <c r="C27" s="45">
        <v>14</v>
      </c>
      <c r="D27" s="45">
        <v>17</v>
      </c>
      <c r="E27">
        <v>14</v>
      </c>
    </row>
    <row r="28" spans="1:5">
      <c r="A28" s="47" t="s">
        <v>127</v>
      </c>
      <c r="B28" s="45">
        <v>10810</v>
      </c>
      <c r="C28" s="45">
        <v>24</v>
      </c>
      <c r="D28" s="45">
        <v>101</v>
      </c>
      <c r="E28">
        <v>27</v>
      </c>
    </row>
    <row r="29" spans="1:5">
      <c r="A29" s="35" t="s">
        <v>130</v>
      </c>
      <c r="B29" s="48">
        <v>730.5</v>
      </c>
      <c r="C29" s="45">
        <v>4</v>
      </c>
      <c r="D29" s="45">
        <v>7</v>
      </c>
      <c r="E29">
        <v>1</v>
      </c>
    </row>
    <row r="30" spans="1:5">
      <c r="A30" s="35" t="s">
        <v>131</v>
      </c>
      <c r="B30" s="45">
        <v>1052</v>
      </c>
      <c r="C30" s="45">
        <v>3</v>
      </c>
      <c r="D30" s="45">
        <v>11</v>
      </c>
      <c r="E30">
        <v>2</v>
      </c>
    </row>
    <row r="31" spans="1:5">
      <c r="A31" s="35" t="s">
        <v>132</v>
      </c>
      <c r="B31" s="45">
        <v>1987</v>
      </c>
      <c r="C31" s="45">
        <v>16</v>
      </c>
      <c r="D31" s="45">
        <v>11</v>
      </c>
      <c r="E31">
        <v>4</v>
      </c>
    </row>
    <row r="32" spans="1:5">
      <c r="A32" s="35" t="s">
        <v>133</v>
      </c>
      <c r="B32" s="45">
        <v>936</v>
      </c>
      <c r="C32" s="45">
        <v>3</v>
      </c>
      <c r="D32" s="45">
        <v>3</v>
      </c>
      <c r="E32">
        <v>2</v>
      </c>
    </row>
    <row r="33" spans="1:5">
      <c r="A33" s="35" t="s">
        <v>141</v>
      </c>
      <c r="B33" s="49">
        <v>14071.25</v>
      </c>
      <c r="C33" s="49">
        <v>37</v>
      </c>
      <c r="D33" s="49">
        <v>28</v>
      </c>
      <c r="E33">
        <v>35</v>
      </c>
    </row>
    <row r="34" spans="1:5">
      <c r="A34" s="34" t="s">
        <v>151</v>
      </c>
      <c r="B34" s="45">
        <v>2283</v>
      </c>
      <c r="C34" s="45">
        <v>21</v>
      </c>
      <c r="D34" s="45">
        <v>9</v>
      </c>
      <c r="E34">
        <v>5</v>
      </c>
    </row>
    <row r="35" spans="1:5">
      <c r="A35" s="35" t="s">
        <v>134</v>
      </c>
      <c r="B35" s="45">
        <v>964.7</v>
      </c>
      <c r="C35" s="45">
        <v>6</v>
      </c>
      <c r="D35" s="45">
        <v>10</v>
      </c>
      <c r="E35">
        <v>2</v>
      </c>
    </row>
    <row r="36" spans="1:5">
      <c r="A36" s="35" t="s">
        <v>135</v>
      </c>
      <c r="B36" s="45">
        <v>6845.5</v>
      </c>
      <c r="C36" s="45">
        <v>38</v>
      </c>
      <c r="D36" s="45">
        <v>10</v>
      </c>
      <c r="E36">
        <v>17</v>
      </c>
    </row>
    <row r="37" spans="1:5">
      <c r="A37" s="35" t="s">
        <v>136</v>
      </c>
      <c r="B37" s="45">
        <v>484</v>
      </c>
      <c r="C37" s="45">
        <v>2</v>
      </c>
      <c r="D37" s="45">
        <v>1</v>
      </c>
      <c r="E37">
        <v>1</v>
      </c>
    </row>
    <row r="38" spans="1:5">
      <c r="A38" s="35" t="s">
        <v>137</v>
      </c>
      <c r="B38" s="45">
        <v>5471.25</v>
      </c>
      <c r="C38" s="45">
        <v>12</v>
      </c>
      <c r="D38" s="45">
        <v>29</v>
      </c>
      <c r="E38">
        <v>13</v>
      </c>
    </row>
    <row r="39" spans="1:5">
      <c r="A39" s="35" t="s">
        <v>138</v>
      </c>
      <c r="B39" s="45">
        <v>1038.75</v>
      </c>
      <c r="C39" s="45">
        <v>4</v>
      </c>
      <c r="D39" s="45">
        <v>4</v>
      </c>
      <c r="E39">
        <v>2</v>
      </c>
    </row>
    <row r="40" spans="1:5">
      <c r="A40" s="34" t="s">
        <v>152</v>
      </c>
      <c r="B40" s="45">
        <v>690</v>
      </c>
      <c r="C40" s="45">
        <v>5</v>
      </c>
      <c r="D40" s="45">
        <v>4</v>
      </c>
      <c r="E40">
        <v>1</v>
      </c>
    </row>
    <row r="41" spans="1:5">
      <c r="A41" s="35" t="s">
        <v>139</v>
      </c>
      <c r="B41" s="45">
        <v>8803.75</v>
      </c>
      <c r="C41" s="45">
        <v>28</v>
      </c>
      <c r="D41" s="45">
        <v>41</v>
      </c>
      <c r="E41">
        <v>22</v>
      </c>
    </row>
    <row r="42" spans="1:5">
      <c r="A42" s="34" t="s">
        <v>140</v>
      </c>
      <c r="B42">
        <v>10206.5</v>
      </c>
      <c r="C42">
        <v>32</v>
      </c>
      <c r="D42">
        <v>46</v>
      </c>
      <c r="E42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9D63-876C-46C3-B6C5-07729A88DDB0}">
  <dimension ref="A1:E37"/>
  <sheetViews>
    <sheetView zoomScale="101" workbookViewId="0">
      <selection activeCell="C59" sqref="C59"/>
    </sheetView>
  </sheetViews>
  <sheetFormatPr defaultColWidth="8.875" defaultRowHeight="13.5"/>
  <cols>
    <col min="1" max="1" width="17.625" customWidth="1"/>
    <col min="2" max="2" width="10.5" bestFit="1" customWidth="1"/>
    <col min="3" max="3" width="21.875" customWidth="1"/>
    <col min="4" max="4" width="9.625" bestFit="1" customWidth="1"/>
    <col min="5" max="5" width="32.5" customWidth="1"/>
  </cols>
  <sheetData>
    <row r="1" spans="1:5" ht="30">
      <c r="A1" s="22" t="s">
        <v>142</v>
      </c>
      <c r="B1" s="23" t="s">
        <v>93</v>
      </c>
      <c r="C1" s="24" t="s">
        <v>94</v>
      </c>
      <c r="D1" s="32" t="s">
        <v>98</v>
      </c>
      <c r="E1" s="32" t="s">
        <v>143</v>
      </c>
    </row>
    <row r="2" spans="1:5" ht="14.25">
      <c r="A2" s="34" t="s">
        <v>106</v>
      </c>
      <c r="B2" s="25">
        <v>5282</v>
      </c>
      <c r="C2" s="26">
        <v>23</v>
      </c>
      <c r="D2" s="27">
        <f>B2/C2</f>
        <v>229.65217391304347</v>
      </c>
      <c r="E2" s="31">
        <v>11</v>
      </c>
    </row>
    <row r="3" spans="1:5" ht="14.25">
      <c r="A3" s="34" t="s">
        <v>107</v>
      </c>
      <c r="B3" s="25">
        <v>3390</v>
      </c>
      <c r="C3" s="26">
        <v>21</v>
      </c>
      <c r="D3" s="27">
        <f t="shared" ref="D3:D37" si="0">B3/C3</f>
        <v>161.42857142857142</v>
      </c>
      <c r="E3" s="31">
        <v>7</v>
      </c>
    </row>
    <row r="4" spans="1:5" ht="14.25">
      <c r="A4" s="34" t="s">
        <v>108</v>
      </c>
      <c r="B4" s="25">
        <v>12843</v>
      </c>
      <c r="C4" s="26">
        <v>24</v>
      </c>
      <c r="D4" s="27">
        <f t="shared" si="0"/>
        <v>535.125</v>
      </c>
      <c r="E4" s="31">
        <v>26</v>
      </c>
    </row>
    <row r="5" spans="1:5" ht="14.25">
      <c r="A5" s="34" t="s">
        <v>109</v>
      </c>
      <c r="B5" s="25">
        <v>4800</v>
      </c>
      <c r="C5" s="26">
        <v>50</v>
      </c>
      <c r="D5" s="27">
        <f t="shared" si="0"/>
        <v>96</v>
      </c>
      <c r="E5" s="31">
        <v>10</v>
      </c>
    </row>
    <row r="6" spans="1:5" ht="14.25">
      <c r="A6" s="34" t="s">
        <v>123</v>
      </c>
      <c r="B6" s="25">
        <v>1976.5</v>
      </c>
      <c r="C6" s="26">
        <v>7</v>
      </c>
      <c r="D6" s="27">
        <f t="shared" si="0"/>
        <v>282.35714285714283</v>
      </c>
      <c r="E6" s="31">
        <v>4</v>
      </c>
    </row>
    <row r="7" spans="1:5" ht="14.25">
      <c r="A7" s="34" t="s">
        <v>110</v>
      </c>
      <c r="B7" s="25">
        <v>1207.5</v>
      </c>
      <c r="C7" s="26">
        <v>15</v>
      </c>
      <c r="D7" s="27">
        <f t="shared" si="0"/>
        <v>80.5</v>
      </c>
      <c r="E7" s="31">
        <v>2</v>
      </c>
    </row>
    <row r="8" spans="1:5" ht="14.25">
      <c r="A8" s="34" t="s">
        <v>112</v>
      </c>
      <c r="B8" s="25">
        <v>5762</v>
      </c>
      <c r="C8" s="26">
        <v>8</v>
      </c>
      <c r="D8" s="27">
        <f t="shared" si="0"/>
        <v>720.25</v>
      </c>
      <c r="E8" s="31">
        <v>12</v>
      </c>
    </row>
    <row r="9" spans="1:5" ht="14.25">
      <c r="A9" s="34" t="s">
        <v>111</v>
      </c>
      <c r="B9" s="25">
        <v>14189</v>
      </c>
      <c r="C9" s="26">
        <v>51</v>
      </c>
      <c r="D9" s="27">
        <f t="shared" si="0"/>
        <v>278.21568627450978</v>
      </c>
      <c r="E9" s="31">
        <v>28</v>
      </c>
    </row>
    <row r="10" spans="1:5" ht="14.25">
      <c r="A10" s="34" t="s">
        <v>113</v>
      </c>
      <c r="B10" s="28">
        <v>5961.5</v>
      </c>
      <c r="C10" s="29">
        <v>24</v>
      </c>
      <c r="D10" s="27">
        <f t="shared" si="0"/>
        <v>248.39583333333334</v>
      </c>
      <c r="E10" s="31">
        <v>12</v>
      </c>
    </row>
    <row r="11" spans="1:5" ht="14.25">
      <c r="A11" s="34" t="s">
        <v>114</v>
      </c>
      <c r="B11" s="28">
        <v>1230</v>
      </c>
      <c r="C11" s="29">
        <v>21</v>
      </c>
      <c r="D11" s="27">
        <f t="shared" si="0"/>
        <v>58.571428571428569</v>
      </c>
      <c r="E11" s="31">
        <v>2</v>
      </c>
    </row>
    <row r="12" spans="1:5" ht="14.25">
      <c r="A12" s="34" t="s">
        <v>124</v>
      </c>
      <c r="B12" s="28">
        <v>14163.5</v>
      </c>
      <c r="C12" s="29">
        <v>37</v>
      </c>
      <c r="D12" s="27">
        <f t="shared" si="0"/>
        <v>382.79729729729729</v>
      </c>
      <c r="E12" s="31">
        <v>28</v>
      </c>
    </row>
    <row r="13" spans="1:5" ht="14.25">
      <c r="A13" s="34" t="s">
        <v>115</v>
      </c>
      <c r="B13" s="25">
        <v>2257</v>
      </c>
      <c r="C13" s="26">
        <v>4</v>
      </c>
      <c r="D13" s="27">
        <f t="shared" si="0"/>
        <v>564.25</v>
      </c>
      <c r="E13" s="31">
        <v>5</v>
      </c>
    </row>
    <row r="14" spans="1:5" ht="14.25">
      <c r="A14" s="34" t="s">
        <v>116</v>
      </c>
      <c r="B14" s="25">
        <v>2770</v>
      </c>
      <c r="C14" s="26">
        <v>21</v>
      </c>
      <c r="D14" s="27">
        <f t="shared" si="0"/>
        <v>131.9047619047619</v>
      </c>
      <c r="E14" s="31">
        <v>6</v>
      </c>
    </row>
    <row r="15" spans="1:5" ht="14.25">
      <c r="A15" s="34" t="s">
        <v>117</v>
      </c>
      <c r="B15" s="25">
        <v>16327</v>
      </c>
      <c r="C15" s="26">
        <v>34</v>
      </c>
      <c r="D15" s="27">
        <f t="shared" si="0"/>
        <v>480.20588235294116</v>
      </c>
      <c r="E15" s="31">
        <v>33</v>
      </c>
    </row>
    <row r="16" spans="1:5" ht="14.25">
      <c r="A16" s="34" t="s">
        <v>118</v>
      </c>
      <c r="B16" s="25">
        <v>14325</v>
      </c>
      <c r="C16" s="26">
        <v>34</v>
      </c>
      <c r="D16" s="27">
        <f t="shared" si="0"/>
        <v>421.3235294117647</v>
      </c>
      <c r="E16" s="31">
        <v>29</v>
      </c>
    </row>
    <row r="17" spans="1:5" ht="14.25">
      <c r="A17" s="34" t="s">
        <v>119</v>
      </c>
      <c r="B17" s="25">
        <v>387</v>
      </c>
      <c r="C17" s="26">
        <v>10</v>
      </c>
      <c r="D17" s="27">
        <f t="shared" si="0"/>
        <v>38.700000000000003</v>
      </c>
      <c r="E17" s="31">
        <v>1</v>
      </c>
    </row>
    <row r="18" spans="1:5" ht="14.25">
      <c r="A18" s="34" t="s">
        <v>120</v>
      </c>
      <c r="B18" s="25">
        <v>4228.5</v>
      </c>
      <c r="C18" s="26">
        <v>19</v>
      </c>
      <c r="D18" s="27">
        <f t="shared" si="0"/>
        <v>222.55263157894737</v>
      </c>
      <c r="E18" s="31">
        <v>8</v>
      </c>
    </row>
    <row r="19" spans="1:5" ht="14.25">
      <c r="A19" s="34" t="s">
        <v>121</v>
      </c>
      <c r="B19" s="25">
        <v>240</v>
      </c>
      <c r="C19" s="26">
        <v>6</v>
      </c>
      <c r="D19" s="27">
        <f t="shared" si="0"/>
        <v>40</v>
      </c>
      <c r="E19" s="31">
        <v>0</v>
      </c>
    </row>
    <row r="20" spans="1:5" ht="14.25">
      <c r="A20" s="34" t="s">
        <v>122</v>
      </c>
      <c r="B20" s="25">
        <v>1742</v>
      </c>
      <c r="C20" s="26">
        <v>5</v>
      </c>
      <c r="D20" s="27">
        <f t="shared" si="0"/>
        <v>348.4</v>
      </c>
      <c r="E20" s="31">
        <v>3</v>
      </c>
    </row>
    <row r="21" spans="1:5" ht="14.25">
      <c r="A21" s="35" t="s">
        <v>128</v>
      </c>
      <c r="B21" s="25">
        <v>1538</v>
      </c>
      <c r="C21" s="26">
        <v>27</v>
      </c>
      <c r="D21" s="27">
        <f t="shared" si="0"/>
        <v>56.962962962962962</v>
      </c>
      <c r="E21" s="31">
        <v>3</v>
      </c>
    </row>
    <row r="22" spans="1:5" ht="14.25">
      <c r="A22" s="35" t="s">
        <v>125</v>
      </c>
      <c r="B22" s="30">
        <v>1087</v>
      </c>
      <c r="C22" s="26">
        <v>2</v>
      </c>
      <c r="D22" s="27">
        <f t="shared" si="0"/>
        <v>543.5</v>
      </c>
      <c r="E22" s="31">
        <v>2</v>
      </c>
    </row>
    <row r="23" spans="1:5" ht="14.25">
      <c r="A23" s="35" t="s">
        <v>126</v>
      </c>
      <c r="B23" s="25">
        <v>3923.5</v>
      </c>
      <c r="C23" s="26">
        <v>26</v>
      </c>
      <c r="D23" s="27">
        <f t="shared" si="0"/>
        <v>150.90384615384616</v>
      </c>
      <c r="E23" s="31">
        <v>8</v>
      </c>
    </row>
    <row r="24" spans="1:5" ht="14.25">
      <c r="A24" s="35" t="s">
        <v>129</v>
      </c>
      <c r="B24" s="25">
        <v>6321</v>
      </c>
      <c r="C24" s="26">
        <v>17</v>
      </c>
      <c r="D24" s="27">
        <f t="shared" si="0"/>
        <v>371.8235294117647</v>
      </c>
      <c r="E24" s="31">
        <v>13</v>
      </c>
    </row>
    <row r="25" spans="1:5" ht="14.25">
      <c r="A25" s="36" t="s">
        <v>127</v>
      </c>
      <c r="B25" s="25">
        <v>10810</v>
      </c>
      <c r="C25" s="26">
        <v>101</v>
      </c>
      <c r="D25" s="27">
        <f t="shared" si="0"/>
        <v>107.02970297029702</v>
      </c>
      <c r="E25" s="31">
        <v>22</v>
      </c>
    </row>
    <row r="26" spans="1:5" ht="14.25">
      <c r="A26" s="35" t="s">
        <v>130</v>
      </c>
      <c r="B26" s="25">
        <v>730.5</v>
      </c>
      <c r="C26" s="26">
        <v>7</v>
      </c>
      <c r="D26" s="27">
        <f t="shared" si="0"/>
        <v>104.35714285714286</v>
      </c>
      <c r="E26" s="31">
        <v>1</v>
      </c>
    </row>
    <row r="27" spans="1:5" ht="14.25">
      <c r="A27" s="35" t="s">
        <v>131</v>
      </c>
      <c r="B27" s="25">
        <v>1100</v>
      </c>
      <c r="C27" s="26">
        <v>8</v>
      </c>
      <c r="D27" s="27">
        <f t="shared" si="0"/>
        <v>137.5</v>
      </c>
      <c r="E27" s="31">
        <v>2</v>
      </c>
    </row>
    <row r="28" spans="1:5" ht="14.25">
      <c r="A28" s="35" t="s">
        <v>132</v>
      </c>
      <c r="B28" s="25">
        <v>1941.05</v>
      </c>
      <c r="C28" s="26">
        <v>11</v>
      </c>
      <c r="D28" s="27">
        <f t="shared" si="0"/>
        <v>176.45909090909092</v>
      </c>
      <c r="E28" s="31">
        <v>4</v>
      </c>
    </row>
    <row r="29" spans="1:5" ht="14.25">
      <c r="A29" s="35" t="s">
        <v>133</v>
      </c>
      <c r="B29" s="25">
        <v>936</v>
      </c>
      <c r="C29" s="26">
        <v>2</v>
      </c>
      <c r="D29" s="27">
        <f t="shared" si="0"/>
        <v>468</v>
      </c>
      <c r="E29" s="31">
        <v>2</v>
      </c>
    </row>
    <row r="30" spans="1:5" ht="14.25">
      <c r="A30" s="35" t="s">
        <v>134</v>
      </c>
      <c r="B30" s="25">
        <v>965</v>
      </c>
      <c r="C30" s="26">
        <v>10</v>
      </c>
      <c r="D30" s="27">
        <f t="shared" si="0"/>
        <v>96.5</v>
      </c>
      <c r="E30" s="31">
        <v>2</v>
      </c>
    </row>
    <row r="31" spans="1:5" ht="14.25">
      <c r="A31" s="35" t="s">
        <v>141</v>
      </c>
      <c r="B31" s="25">
        <v>11708</v>
      </c>
      <c r="C31" s="26">
        <v>30</v>
      </c>
      <c r="D31" s="27">
        <f t="shared" si="0"/>
        <v>390.26666666666665</v>
      </c>
      <c r="E31" s="31">
        <v>23</v>
      </c>
    </row>
    <row r="32" spans="1:5" ht="14.25">
      <c r="A32" s="35" t="s">
        <v>135</v>
      </c>
      <c r="B32" s="25">
        <v>6845.5</v>
      </c>
      <c r="C32" s="26">
        <v>10</v>
      </c>
      <c r="D32" s="27">
        <f t="shared" si="0"/>
        <v>684.55</v>
      </c>
      <c r="E32" s="31">
        <v>14</v>
      </c>
    </row>
    <row r="33" spans="1:5" ht="14.25">
      <c r="A33" s="35" t="s">
        <v>136</v>
      </c>
      <c r="B33" s="25">
        <v>484</v>
      </c>
      <c r="C33" s="26">
        <v>1</v>
      </c>
      <c r="D33" s="27">
        <f t="shared" si="0"/>
        <v>484</v>
      </c>
      <c r="E33" s="31">
        <v>1</v>
      </c>
    </row>
    <row r="34" spans="1:5" ht="14.25">
      <c r="A34" s="35" t="s">
        <v>137</v>
      </c>
      <c r="B34" s="25">
        <v>5475</v>
      </c>
      <c r="C34" s="26">
        <v>30</v>
      </c>
      <c r="D34" s="27">
        <f t="shared" si="0"/>
        <v>182.5</v>
      </c>
      <c r="E34" s="31">
        <v>11</v>
      </c>
    </row>
    <row r="35" spans="1:5" ht="14.25">
      <c r="A35" s="35" t="s">
        <v>138</v>
      </c>
      <c r="B35" s="25">
        <v>1038.75</v>
      </c>
      <c r="C35" s="26">
        <v>4</v>
      </c>
      <c r="D35" s="27">
        <f t="shared" si="0"/>
        <v>259.6875</v>
      </c>
      <c r="E35" s="31">
        <v>2</v>
      </c>
    </row>
    <row r="36" spans="1:5" ht="14.25">
      <c r="A36" s="35" t="s">
        <v>139</v>
      </c>
      <c r="B36" s="25">
        <v>3673.75</v>
      </c>
      <c r="C36" s="26">
        <v>5</v>
      </c>
      <c r="D36" s="27">
        <f t="shared" si="0"/>
        <v>734.75</v>
      </c>
      <c r="E36" s="31">
        <v>7</v>
      </c>
    </row>
    <row r="37" spans="1:5" ht="14.25">
      <c r="A37" s="35" t="s">
        <v>140</v>
      </c>
      <c r="B37" s="25">
        <v>8063.5</v>
      </c>
      <c r="C37" s="26">
        <v>45</v>
      </c>
      <c r="D37" s="27">
        <f t="shared" si="0"/>
        <v>179.1888888888889</v>
      </c>
      <c r="E37" s="31">
        <v>16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D732-6956-4A91-A5E5-3318067588D5}">
  <dimension ref="A1:H42"/>
  <sheetViews>
    <sheetView workbookViewId="0">
      <selection activeCell="D43" sqref="D43"/>
    </sheetView>
  </sheetViews>
  <sheetFormatPr defaultRowHeight="13.5"/>
  <cols>
    <col min="1" max="1" width="21.25" bestFit="1" customWidth="1"/>
    <col min="2" max="2" width="12" bestFit="1" customWidth="1"/>
    <col min="3" max="3" width="10" customWidth="1"/>
    <col min="4" max="4" width="12.125" bestFit="1" customWidth="1"/>
  </cols>
  <sheetData>
    <row r="1" spans="1:8">
      <c r="A1" s="44" t="s">
        <v>105</v>
      </c>
      <c r="B1" s="44" t="s">
        <v>54</v>
      </c>
      <c r="C1" s="44" t="s">
        <v>56</v>
      </c>
      <c r="D1" s="44" t="s">
        <v>95</v>
      </c>
      <c r="E1" s="51">
        <v>1</v>
      </c>
      <c r="F1" s="51">
        <v>0.5</v>
      </c>
      <c r="G1" s="51">
        <v>0.75</v>
      </c>
      <c r="H1" s="51">
        <v>1.25</v>
      </c>
    </row>
    <row r="2" spans="1:8">
      <c r="A2" s="45" t="s">
        <v>106</v>
      </c>
      <c r="B2" s="45">
        <v>5281</v>
      </c>
      <c r="C2" s="45">
        <v>20</v>
      </c>
      <c r="D2" s="45">
        <v>19</v>
      </c>
      <c r="E2">
        <f>ROUNDDOWN(B2/500,0)</f>
        <v>10</v>
      </c>
      <c r="F2">
        <f>ROUNDDOWN(B2/500*0.5,0)</f>
        <v>5</v>
      </c>
      <c r="G2">
        <f>ROUNDDOWN(B2/500*0.75,0)</f>
        <v>7</v>
      </c>
      <c r="H2">
        <f>ROUNDDOWN(B2/500*1.25,0)</f>
        <v>13</v>
      </c>
    </row>
    <row r="3" spans="1:8">
      <c r="A3" s="45" t="s">
        <v>107</v>
      </c>
      <c r="B3" s="45">
        <v>3390</v>
      </c>
      <c r="C3" s="45">
        <v>7</v>
      </c>
      <c r="D3" s="45">
        <v>17</v>
      </c>
      <c r="E3">
        <f t="shared" ref="E3:E42" si="0">ROUNDDOWN(B3/500,0)</f>
        <v>6</v>
      </c>
      <c r="F3">
        <f t="shared" ref="F3:F42" si="1">ROUNDDOWN(B3/500*0.5,0)</f>
        <v>3</v>
      </c>
      <c r="G3">
        <f t="shared" ref="G3:G42" si="2">ROUNDDOWN(B3/500*0.75,0)</f>
        <v>5</v>
      </c>
      <c r="H3">
        <f t="shared" ref="H3:H42" si="3">ROUNDDOWN(B3/500*1.25,0)</f>
        <v>8</v>
      </c>
    </row>
    <row r="4" spans="1:8">
      <c r="A4" s="45" t="s">
        <v>108</v>
      </c>
      <c r="B4" s="45">
        <v>12843</v>
      </c>
      <c r="C4" s="45">
        <v>29</v>
      </c>
      <c r="D4" s="45">
        <v>24</v>
      </c>
      <c r="E4">
        <f t="shared" si="0"/>
        <v>25</v>
      </c>
      <c r="F4">
        <f t="shared" si="1"/>
        <v>12</v>
      </c>
      <c r="G4">
        <f t="shared" si="2"/>
        <v>19</v>
      </c>
      <c r="H4">
        <f t="shared" si="3"/>
        <v>32</v>
      </c>
    </row>
    <row r="5" spans="1:8">
      <c r="A5" s="45" t="s">
        <v>109</v>
      </c>
      <c r="B5" s="45">
        <v>4639</v>
      </c>
      <c r="C5" s="45">
        <v>10</v>
      </c>
      <c r="D5" s="45">
        <v>27</v>
      </c>
      <c r="E5">
        <f t="shared" si="0"/>
        <v>9</v>
      </c>
      <c r="F5">
        <f t="shared" si="1"/>
        <v>4</v>
      </c>
      <c r="G5">
        <f t="shared" si="2"/>
        <v>6</v>
      </c>
      <c r="H5">
        <f t="shared" si="3"/>
        <v>11</v>
      </c>
    </row>
    <row r="6" spans="1:8">
      <c r="A6" s="45" t="s">
        <v>123</v>
      </c>
      <c r="B6" s="45">
        <v>1976</v>
      </c>
      <c r="C6" s="45">
        <v>19</v>
      </c>
      <c r="D6" s="45">
        <v>7</v>
      </c>
      <c r="E6">
        <f t="shared" si="0"/>
        <v>3</v>
      </c>
      <c r="F6">
        <f t="shared" si="1"/>
        <v>1</v>
      </c>
      <c r="G6">
        <f t="shared" si="2"/>
        <v>2</v>
      </c>
      <c r="H6">
        <f t="shared" si="3"/>
        <v>4</v>
      </c>
    </row>
    <row r="7" spans="1:8">
      <c r="A7" s="45" t="s">
        <v>110</v>
      </c>
      <c r="B7" s="45">
        <v>1262.75</v>
      </c>
      <c r="C7" s="45">
        <v>7</v>
      </c>
      <c r="D7" s="45">
        <v>15</v>
      </c>
      <c r="E7">
        <f t="shared" si="0"/>
        <v>2</v>
      </c>
      <c r="F7">
        <f t="shared" si="1"/>
        <v>1</v>
      </c>
      <c r="G7">
        <f t="shared" si="2"/>
        <v>1</v>
      </c>
      <c r="H7">
        <f t="shared" si="3"/>
        <v>3</v>
      </c>
    </row>
    <row r="8" spans="1:8">
      <c r="A8" s="45" t="s">
        <v>111</v>
      </c>
      <c r="B8" s="45">
        <v>14026.25</v>
      </c>
      <c r="C8" s="45">
        <v>33</v>
      </c>
      <c r="D8" s="45">
        <v>50</v>
      </c>
      <c r="E8">
        <f t="shared" si="0"/>
        <v>28</v>
      </c>
      <c r="F8">
        <f t="shared" si="1"/>
        <v>14</v>
      </c>
      <c r="G8">
        <f t="shared" si="2"/>
        <v>21</v>
      </c>
      <c r="H8">
        <f t="shared" si="3"/>
        <v>35</v>
      </c>
    </row>
    <row r="9" spans="1:8">
      <c r="A9" s="45" t="s">
        <v>112</v>
      </c>
      <c r="B9" s="45">
        <v>5649.25</v>
      </c>
      <c r="C9" s="45">
        <v>21</v>
      </c>
      <c r="D9" s="45">
        <v>10</v>
      </c>
      <c r="E9">
        <f t="shared" si="0"/>
        <v>11</v>
      </c>
      <c r="F9">
        <f t="shared" si="1"/>
        <v>5</v>
      </c>
      <c r="G9">
        <f t="shared" si="2"/>
        <v>8</v>
      </c>
      <c r="H9">
        <f t="shared" si="3"/>
        <v>14</v>
      </c>
    </row>
    <row r="10" spans="1:8">
      <c r="A10" s="45" t="s">
        <v>113</v>
      </c>
      <c r="B10" s="45">
        <v>7008.375</v>
      </c>
      <c r="C10" s="45">
        <v>20</v>
      </c>
      <c r="D10" s="45">
        <v>24.5</v>
      </c>
      <c r="E10">
        <f t="shared" si="0"/>
        <v>14</v>
      </c>
      <c r="F10">
        <f t="shared" si="1"/>
        <v>7</v>
      </c>
      <c r="G10">
        <f t="shared" si="2"/>
        <v>10</v>
      </c>
      <c r="H10">
        <f t="shared" si="3"/>
        <v>17</v>
      </c>
    </row>
    <row r="11" spans="1:8">
      <c r="A11" s="45" t="s">
        <v>148</v>
      </c>
      <c r="B11" s="45">
        <v>3150</v>
      </c>
      <c r="C11" s="45">
        <v>11</v>
      </c>
      <c r="D11" s="45">
        <v>11</v>
      </c>
      <c r="E11">
        <f t="shared" si="0"/>
        <v>6</v>
      </c>
      <c r="F11">
        <f t="shared" si="1"/>
        <v>3</v>
      </c>
      <c r="G11">
        <f t="shared" si="2"/>
        <v>4</v>
      </c>
      <c r="H11">
        <f t="shared" si="3"/>
        <v>7</v>
      </c>
    </row>
    <row r="12" spans="1:8">
      <c r="A12" s="45" t="s">
        <v>114</v>
      </c>
      <c r="B12" s="45">
        <v>1230</v>
      </c>
      <c r="C12" s="45">
        <v>3</v>
      </c>
      <c r="D12" s="45">
        <v>21</v>
      </c>
      <c r="E12">
        <f t="shared" si="0"/>
        <v>2</v>
      </c>
      <c r="F12">
        <f t="shared" si="1"/>
        <v>1</v>
      </c>
      <c r="G12">
        <f t="shared" si="2"/>
        <v>1</v>
      </c>
      <c r="H12">
        <f t="shared" si="3"/>
        <v>3</v>
      </c>
    </row>
    <row r="13" spans="1:8">
      <c r="A13" s="45" t="s">
        <v>124</v>
      </c>
      <c r="B13" s="45">
        <v>15970.5</v>
      </c>
      <c r="C13" s="45">
        <v>40</v>
      </c>
      <c r="D13" s="45">
        <v>39</v>
      </c>
      <c r="E13">
        <f t="shared" si="0"/>
        <v>31</v>
      </c>
      <c r="F13">
        <f t="shared" si="1"/>
        <v>15</v>
      </c>
      <c r="G13">
        <f t="shared" si="2"/>
        <v>23</v>
      </c>
      <c r="H13">
        <f t="shared" si="3"/>
        <v>39</v>
      </c>
    </row>
    <row r="14" spans="1:8">
      <c r="A14" s="45" t="s">
        <v>115</v>
      </c>
      <c r="B14" s="45">
        <v>2256.5</v>
      </c>
      <c r="C14" s="45">
        <v>19</v>
      </c>
      <c r="D14" s="45">
        <v>4</v>
      </c>
      <c r="E14">
        <f t="shared" si="0"/>
        <v>4</v>
      </c>
      <c r="F14">
        <f t="shared" si="1"/>
        <v>2</v>
      </c>
      <c r="G14">
        <f t="shared" si="2"/>
        <v>3</v>
      </c>
      <c r="H14">
        <f t="shared" si="3"/>
        <v>5</v>
      </c>
    </row>
    <row r="15" spans="1:8">
      <c r="A15" s="45" t="s">
        <v>116</v>
      </c>
      <c r="B15" s="45">
        <v>2770</v>
      </c>
      <c r="C15" s="45">
        <v>10</v>
      </c>
      <c r="D15" s="45">
        <v>21</v>
      </c>
      <c r="E15">
        <f t="shared" si="0"/>
        <v>5</v>
      </c>
      <c r="F15">
        <f t="shared" si="1"/>
        <v>2</v>
      </c>
      <c r="G15">
        <f t="shared" si="2"/>
        <v>4</v>
      </c>
      <c r="H15">
        <f t="shared" si="3"/>
        <v>6</v>
      </c>
    </row>
    <row r="16" spans="1:8">
      <c r="A16" s="45" t="s">
        <v>149</v>
      </c>
      <c r="B16" s="45">
        <v>502</v>
      </c>
      <c r="C16" s="45">
        <v>3</v>
      </c>
      <c r="D16" s="45">
        <v>1</v>
      </c>
      <c r="E16">
        <f t="shared" si="0"/>
        <v>1</v>
      </c>
      <c r="F16">
        <f t="shared" si="1"/>
        <v>0</v>
      </c>
      <c r="G16">
        <f t="shared" si="2"/>
        <v>0</v>
      </c>
      <c r="H16">
        <f t="shared" si="3"/>
        <v>1</v>
      </c>
    </row>
    <row r="17" spans="1:8">
      <c r="A17" s="45" t="s">
        <v>146</v>
      </c>
      <c r="B17" s="45">
        <v>18050.5</v>
      </c>
      <c r="C17" s="45">
        <v>120</v>
      </c>
      <c r="D17" s="45">
        <v>34</v>
      </c>
      <c r="E17">
        <f t="shared" si="0"/>
        <v>36</v>
      </c>
      <c r="F17">
        <f t="shared" si="1"/>
        <v>18</v>
      </c>
      <c r="G17">
        <f t="shared" si="2"/>
        <v>27</v>
      </c>
      <c r="H17">
        <f t="shared" si="3"/>
        <v>45</v>
      </c>
    </row>
    <row r="18" spans="1:8">
      <c r="A18" s="45" t="s">
        <v>117</v>
      </c>
      <c r="B18" s="45">
        <v>16327</v>
      </c>
      <c r="C18" s="45">
        <v>44</v>
      </c>
      <c r="D18" s="45">
        <v>34</v>
      </c>
      <c r="E18">
        <f t="shared" si="0"/>
        <v>32</v>
      </c>
      <c r="F18">
        <f t="shared" si="1"/>
        <v>16</v>
      </c>
      <c r="G18">
        <f t="shared" si="2"/>
        <v>24</v>
      </c>
      <c r="H18">
        <f t="shared" si="3"/>
        <v>40</v>
      </c>
    </row>
    <row r="19" spans="1:8">
      <c r="A19" s="45" t="s">
        <v>150</v>
      </c>
      <c r="B19" s="45">
        <v>4418</v>
      </c>
      <c r="C19" s="45">
        <v>18</v>
      </c>
      <c r="D19" s="45">
        <v>11</v>
      </c>
      <c r="E19">
        <f t="shared" si="0"/>
        <v>8</v>
      </c>
      <c r="F19">
        <f t="shared" si="1"/>
        <v>4</v>
      </c>
      <c r="G19">
        <f t="shared" si="2"/>
        <v>6</v>
      </c>
      <c r="H19">
        <f t="shared" si="3"/>
        <v>11</v>
      </c>
    </row>
    <row r="20" spans="1:8">
      <c r="A20" s="45" t="s">
        <v>118</v>
      </c>
      <c r="B20" s="45">
        <v>14355</v>
      </c>
      <c r="C20" s="45">
        <v>28</v>
      </c>
      <c r="D20" s="45">
        <v>23</v>
      </c>
      <c r="E20">
        <f t="shared" si="0"/>
        <v>28</v>
      </c>
      <c r="F20">
        <f t="shared" si="1"/>
        <v>14</v>
      </c>
      <c r="G20">
        <f t="shared" si="2"/>
        <v>21</v>
      </c>
      <c r="H20">
        <f t="shared" si="3"/>
        <v>35</v>
      </c>
    </row>
    <row r="21" spans="1:8">
      <c r="A21" s="45" t="s">
        <v>119</v>
      </c>
      <c r="B21" s="45">
        <v>387</v>
      </c>
      <c r="C21" s="45">
        <v>1</v>
      </c>
      <c r="D21" s="45">
        <v>10</v>
      </c>
      <c r="E21">
        <f t="shared" si="0"/>
        <v>0</v>
      </c>
      <c r="F21">
        <f t="shared" si="1"/>
        <v>0</v>
      </c>
      <c r="G21">
        <f t="shared" si="2"/>
        <v>0</v>
      </c>
      <c r="H21">
        <f t="shared" si="3"/>
        <v>0</v>
      </c>
    </row>
    <row r="22" spans="1:8">
      <c r="A22" s="45" t="s">
        <v>120</v>
      </c>
      <c r="B22" s="45">
        <v>3712.5</v>
      </c>
      <c r="C22" s="45">
        <v>21</v>
      </c>
      <c r="D22" s="45">
        <v>12</v>
      </c>
      <c r="E22">
        <f t="shared" si="0"/>
        <v>7</v>
      </c>
      <c r="F22">
        <f t="shared" si="1"/>
        <v>3</v>
      </c>
      <c r="G22">
        <f t="shared" si="2"/>
        <v>5</v>
      </c>
      <c r="H22">
        <f t="shared" si="3"/>
        <v>9</v>
      </c>
    </row>
    <row r="23" spans="1:8">
      <c r="A23" s="45" t="s">
        <v>121</v>
      </c>
      <c r="B23" s="45">
        <v>177</v>
      </c>
      <c r="C23" s="45">
        <v>1</v>
      </c>
      <c r="D23" s="45">
        <v>2</v>
      </c>
      <c r="E23">
        <f t="shared" si="0"/>
        <v>0</v>
      </c>
      <c r="F23">
        <f t="shared" si="1"/>
        <v>0</v>
      </c>
      <c r="G23">
        <f t="shared" si="2"/>
        <v>0</v>
      </c>
      <c r="H23">
        <f t="shared" si="3"/>
        <v>0</v>
      </c>
    </row>
    <row r="24" spans="1:8">
      <c r="A24" s="45" t="s">
        <v>122</v>
      </c>
      <c r="B24" s="45">
        <v>1742</v>
      </c>
      <c r="C24" s="45">
        <v>5</v>
      </c>
      <c r="D24" s="45">
        <v>5</v>
      </c>
      <c r="E24">
        <f t="shared" si="0"/>
        <v>3</v>
      </c>
      <c r="F24">
        <f t="shared" si="1"/>
        <v>1</v>
      </c>
      <c r="G24">
        <f t="shared" si="2"/>
        <v>2</v>
      </c>
      <c r="H24">
        <f t="shared" si="3"/>
        <v>4</v>
      </c>
    </row>
    <row r="25" spans="1:8">
      <c r="A25" s="45" t="s">
        <v>125</v>
      </c>
      <c r="B25" s="45">
        <v>957.75</v>
      </c>
      <c r="C25" s="45">
        <v>5</v>
      </c>
      <c r="D25" s="45">
        <v>2</v>
      </c>
      <c r="E25">
        <f t="shared" si="0"/>
        <v>1</v>
      </c>
      <c r="F25">
        <f t="shared" si="1"/>
        <v>0</v>
      </c>
      <c r="G25">
        <f t="shared" si="2"/>
        <v>1</v>
      </c>
      <c r="H25">
        <f t="shared" si="3"/>
        <v>2</v>
      </c>
    </row>
    <row r="26" spans="1:8">
      <c r="A26" s="45" t="s">
        <v>126</v>
      </c>
      <c r="B26" s="45">
        <v>7280.75</v>
      </c>
      <c r="C26" s="45">
        <v>38</v>
      </c>
      <c r="D26" s="45">
        <v>93</v>
      </c>
      <c r="E26">
        <f t="shared" si="0"/>
        <v>14</v>
      </c>
      <c r="F26">
        <f t="shared" si="1"/>
        <v>7</v>
      </c>
      <c r="G26">
        <f t="shared" si="2"/>
        <v>10</v>
      </c>
      <c r="H26">
        <f t="shared" si="3"/>
        <v>18</v>
      </c>
    </row>
    <row r="27" spans="1:8">
      <c r="A27" s="46" t="s">
        <v>129</v>
      </c>
      <c r="B27" s="45">
        <v>5871.53</v>
      </c>
      <c r="C27" s="45">
        <v>14</v>
      </c>
      <c r="D27" s="45">
        <v>17</v>
      </c>
      <c r="E27">
        <f t="shared" si="0"/>
        <v>11</v>
      </c>
      <c r="F27">
        <f t="shared" si="1"/>
        <v>5</v>
      </c>
      <c r="G27">
        <f t="shared" si="2"/>
        <v>8</v>
      </c>
      <c r="H27">
        <f t="shared" si="3"/>
        <v>14</v>
      </c>
    </row>
    <row r="28" spans="1:8">
      <c r="A28" s="47" t="s">
        <v>127</v>
      </c>
      <c r="B28" s="45">
        <v>10810</v>
      </c>
      <c r="C28" s="45">
        <v>24</v>
      </c>
      <c r="D28" s="45">
        <v>101</v>
      </c>
      <c r="E28">
        <f t="shared" si="0"/>
        <v>21</v>
      </c>
      <c r="F28">
        <f t="shared" si="1"/>
        <v>10</v>
      </c>
      <c r="G28">
        <f t="shared" si="2"/>
        <v>16</v>
      </c>
      <c r="H28">
        <f t="shared" si="3"/>
        <v>27</v>
      </c>
    </row>
    <row r="29" spans="1:8">
      <c r="A29" s="46" t="s">
        <v>130</v>
      </c>
      <c r="B29" s="48">
        <v>730.5</v>
      </c>
      <c r="C29" s="45">
        <v>4</v>
      </c>
      <c r="D29" s="45">
        <v>7</v>
      </c>
      <c r="E29">
        <f t="shared" si="0"/>
        <v>1</v>
      </c>
      <c r="F29">
        <f t="shared" si="1"/>
        <v>0</v>
      </c>
      <c r="G29">
        <f t="shared" si="2"/>
        <v>1</v>
      </c>
      <c r="H29">
        <f t="shared" si="3"/>
        <v>1</v>
      </c>
    </row>
    <row r="30" spans="1:8">
      <c r="A30" s="46" t="s">
        <v>131</v>
      </c>
      <c r="B30" s="45">
        <v>1052</v>
      </c>
      <c r="C30" s="45">
        <v>3</v>
      </c>
      <c r="D30" s="45">
        <v>11</v>
      </c>
      <c r="E30">
        <f t="shared" si="0"/>
        <v>2</v>
      </c>
      <c r="F30">
        <f t="shared" si="1"/>
        <v>1</v>
      </c>
      <c r="G30">
        <f t="shared" si="2"/>
        <v>1</v>
      </c>
      <c r="H30">
        <f t="shared" si="3"/>
        <v>2</v>
      </c>
    </row>
    <row r="31" spans="1:8">
      <c r="A31" s="46" t="s">
        <v>132</v>
      </c>
      <c r="B31" s="45">
        <v>1987</v>
      </c>
      <c r="C31" s="45">
        <v>16</v>
      </c>
      <c r="D31" s="45">
        <v>11</v>
      </c>
      <c r="E31">
        <f t="shared" si="0"/>
        <v>3</v>
      </c>
      <c r="F31">
        <f t="shared" si="1"/>
        <v>1</v>
      </c>
      <c r="G31">
        <f t="shared" si="2"/>
        <v>2</v>
      </c>
      <c r="H31">
        <f t="shared" si="3"/>
        <v>4</v>
      </c>
    </row>
    <row r="32" spans="1:8">
      <c r="A32" s="46" t="s">
        <v>133</v>
      </c>
      <c r="B32" s="45">
        <v>936</v>
      </c>
      <c r="C32" s="45">
        <v>3</v>
      </c>
      <c r="D32" s="45">
        <v>3</v>
      </c>
      <c r="E32">
        <f t="shared" si="0"/>
        <v>1</v>
      </c>
      <c r="F32">
        <f t="shared" si="1"/>
        <v>0</v>
      </c>
      <c r="G32">
        <f t="shared" si="2"/>
        <v>1</v>
      </c>
      <c r="H32">
        <f t="shared" si="3"/>
        <v>2</v>
      </c>
    </row>
    <row r="33" spans="1:8">
      <c r="A33" s="46" t="s">
        <v>141</v>
      </c>
      <c r="B33" s="49">
        <v>14071.25</v>
      </c>
      <c r="C33" s="49">
        <v>37</v>
      </c>
      <c r="D33" s="49">
        <v>28</v>
      </c>
      <c r="E33">
        <f t="shared" si="0"/>
        <v>28</v>
      </c>
      <c r="F33">
        <f t="shared" si="1"/>
        <v>14</v>
      </c>
      <c r="G33">
        <f t="shared" si="2"/>
        <v>21</v>
      </c>
      <c r="H33">
        <f t="shared" si="3"/>
        <v>35</v>
      </c>
    </row>
    <row r="34" spans="1:8">
      <c r="A34" s="45" t="s">
        <v>151</v>
      </c>
      <c r="B34" s="45">
        <v>2283</v>
      </c>
      <c r="C34" s="45">
        <v>21</v>
      </c>
      <c r="D34" s="45">
        <v>9</v>
      </c>
      <c r="E34">
        <f t="shared" si="0"/>
        <v>4</v>
      </c>
      <c r="F34">
        <f t="shared" si="1"/>
        <v>2</v>
      </c>
      <c r="G34">
        <f t="shared" si="2"/>
        <v>3</v>
      </c>
      <c r="H34">
        <f t="shared" si="3"/>
        <v>5</v>
      </c>
    </row>
    <row r="35" spans="1:8">
      <c r="A35" s="46" t="s">
        <v>134</v>
      </c>
      <c r="B35" s="45">
        <v>964.7</v>
      </c>
      <c r="C35" s="45">
        <v>6</v>
      </c>
      <c r="D35" s="45">
        <v>10</v>
      </c>
      <c r="E35">
        <f t="shared" si="0"/>
        <v>1</v>
      </c>
      <c r="F35">
        <f t="shared" si="1"/>
        <v>0</v>
      </c>
      <c r="G35">
        <f t="shared" si="2"/>
        <v>1</v>
      </c>
      <c r="H35">
        <f t="shared" si="3"/>
        <v>2</v>
      </c>
    </row>
    <row r="36" spans="1:8">
      <c r="A36" s="46" t="s">
        <v>135</v>
      </c>
      <c r="B36" s="45">
        <v>6845.5</v>
      </c>
      <c r="C36" s="45">
        <v>38</v>
      </c>
      <c r="D36" s="45">
        <v>10</v>
      </c>
      <c r="E36">
        <f t="shared" si="0"/>
        <v>13</v>
      </c>
      <c r="F36">
        <f t="shared" si="1"/>
        <v>6</v>
      </c>
      <c r="G36">
        <f t="shared" si="2"/>
        <v>10</v>
      </c>
      <c r="H36">
        <f t="shared" si="3"/>
        <v>17</v>
      </c>
    </row>
    <row r="37" spans="1:8">
      <c r="A37" s="46" t="s">
        <v>136</v>
      </c>
      <c r="B37" s="45">
        <v>484</v>
      </c>
      <c r="C37" s="45">
        <v>2</v>
      </c>
      <c r="D37" s="45">
        <v>1</v>
      </c>
      <c r="E37">
        <f t="shared" si="0"/>
        <v>0</v>
      </c>
      <c r="F37">
        <f t="shared" si="1"/>
        <v>0</v>
      </c>
      <c r="G37">
        <f t="shared" si="2"/>
        <v>0</v>
      </c>
      <c r="H37">
        <f t="shared" si="3"/>
        <v>1</v>
      </c>
    </row>
    <row r="38" spans="1:8">
      <c r="A38" s="46" t="s">
        <v>137</v>
      </c>
      <c r="B38" s="45">
        <v>5471.25</v>
      </c>
      <c r="C38" s="45">
        <v>12</v>
      </c>
      <c r="D38" s="45">
        <v>29</v>
      </c>
      <c r="E38">
        <f t="shared" si="0"/>
        <v>10</v>
      </c>
      <c r="F38">
        <f t="shared" si="1"/>
        <v>5</v>
      </c>
      <c r="G38">
        <f t="shared" si="2"/>
        <v>8</v>
      </c>
      <c r="H38">
        <f t="shared" si="3"/>
        <v>13</v>
      </c>
    </row>
    <row r="39" spans="1:8">
      <c r="A39" s="46" t="s">
        <v>138</v>
      </c>
      <c r="B39" s="45">
        <v>1038.75</v>
      </c>
      <c r="C39" s="45">
        <v>4</v>
      </c>
      <c r="D39" s="45">
        <v>4</v>
      </c>
      <c r="E39">
        <f t="shared" si="0"/>
        <v>2</v>
      </c>
      <c r="F39">
        <f t="shared" si="1"/>
        <v>1</v>
      </c>
      <c r="G39">
        <f t="shared" si="2"/>
        <v>1</v>
      </c>
      <c r="H39">
        <f t="shared" si="3"/>
        <v>2</v>
      </c>
    </row>
    <row r="40" spans="1:8">
      <c r="A40" s="45" t="s">
        <v>152</v>
      </c>
      <c r="B40" s="45">
        <v>690</v>
      </c>
      <c r="C40" s="45">
        <v>5</v>
      </c>
      <c r="D40" s="45">
        <v>4</v>
      </c>
      <c r="E40">
        <f t="shared" si="0"/>
        <v>1</v>
      </c>
      <c r="F40">
        <f t="shared" si="1"/>
        <v>0</v>
      </c>
      <c r="G40">
        <f t="shared" si="2"/>
        <v>1</v>
      </c>
      <c r="H40">
        <f t="shared" si="3"/>
        <v>1</v>
      </c>
    </row>
    <row r="41" spans="1:8">
      <c r="A41" s="46" t="s">
        <v>139</v>
      </c>
      <c r="B41" s="45">
        <v>8803.75</v>
      </c>
      <c r="C41" s="45">
        <v>28</v>
      </c>
      <c r="D41" s="45">
        <v>41</v>
      </c>
      <c r="E41">
        <f t="shared" si="0"/>
        <v>17</v>
      </c>
      <c r="F41">
        <f t="shared" si="1"/>
        <v>8</v>
      </c>
      <c r="G41">
        <f t="shared" si="2"/>
        <v>13</v>
      </c>
      <c r="H41">
        <f t="shared" si="3"/>
        <v>22</v>
      </c>
    </row>
    <row r="42" spans="1:8">
      <c r="A42" s="45" t="s">
        <v>140</v>
      </c>
      <c r="B42">
        <v>10206.5</v>
      </c>
      <c r="C42">
        <v>32</v>
      </c>
      <c r="D42">
        <v>46</v>
      </c>
      <c r="E42">
        <f t="shared" si="0"/>
        <v>20</v>
      </c>
      <c r="F42">
        <f t="shared" si="1"/>
        <v>10</v>
      </c>
      <c r="G42">
        <f t="shared" si="2"/>
        <v>15</v>
      </c>
      <c r="H42">
        <f t="shared" si="3"/>
        <v>25</v>
      </c>
    </row>
  </sheetData>
  <autoFilter ref="A1:D1" xr:uid="{283A48A4-DD4C-40E9-AB44-49D87A08419D}">
    <sortState xmlns:xlrd2="http://schemas.microsoft.com/office/spreadsheetml/2017/richdata2" ref="A2:D5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48A4-DD4C-40E9-AB44-49D87A08419D}">
  <dimension ref="A1:D71"/>
  <sheetViews>
    <sheetView workbookViewId="0">
      <selection activeCell="B11" sqref="B11:D11"/>
    </sheetView>
  </sheetViews>
  <sheetFormatPr defaultRowHeight="13.5"/>
  <cols>
    <col min="1" max="1" width="21.25" bestFit="1" customWidth="1"/>
    <col min="2" max="2" width="12" bestFit="1" customWidth="1"/>
    <col min="3" max="3" width="10" customWidth="1"/>
    <col min="4" max="4" width="12.125" bestFit="1" customWidth="1"/>
  </cols>
  <sheetData>
    <row r="1" spans="1:4">
      <c r="A1" s="44" t="s">
        <v>105</v>
      </c>
      <c r="B1" s="44" t="s">
        <v>54</v>
      </c>
      <c r="C1" s="44" t="s">
        <v>56</v>
      </c>
      <c r="D1" s="44" t="s">
        <v>95</v>
      </c>
    </row>
    <row r="2" spans="1:4">
      <c r="A2" s="45" t="s">
        <v>106</v>
      </c>
      <c r="B2" s="45">
        <v>5281</v>
      </c>
      <c r="C2" s="45">
        <v>20</v>
      </c>
      <c r="D2" s="45">
        <v>19</v>
      </c>
    </row>
    <row r="3" spans="1:4">
      <c r="A3" s="45" t="s">
        <v>107</v>
      </c>
      <c r="B3" s="45">
        <v>3390</v>
      </c>
      <c r="C3" s="45">
        <v>7</v>
      </c>
      <c r="D3" s="45">
        <v>17</v>
      </c>
    </row>
    <row r="4" spans="1:4">
      <c r="A4" s="45" t="s">
        <v>108</v>
      </c>
      <c r="B4" s="45">
        <v>12843</v>
      </c>
      <c r="C4" s="45">
        <v>29</v>
      </c>
      <c r="D4" s="45">
        <v>24</v>
      </c>
    </row>
    <row r="5" spans="1:4">
      <c r="A5" s="45" t="s">
        <v>109</v>
      </c>
      <c r="B5" s="45">
        <v>4639</v>
      </c>
      <c r="C5" s="45">
        <v>10</v>
      </c>
      <c r="D5" s="45">
        <v>27</v>
      </c>
    </row>
    <row r="6" spans="1:4">
      <c r="A6" s="45" t="s">
        <v>123</v>
      </c>
      <c r="B6" s="45">
        <v>1976</v>
      </c>
      <c r="C6" s="45">
        <v>19</v>
      </c>
      <c r="D6" s="45">
        <v>7</v>
      </c>
    </row>
    <row r="7" spans="1:4">
      <c r="A7" s="45" t="s">
        <v>110</v>
      </c>
      <c r="B7" s="45">
        <v>1262.75</v>
      </c>
      <c r="C7" s="45">
        <v>7</v>
      </c>
      <c r="D7" s="45">
        <v>15</v>
      </c>
    </row>
    <row r="8" spans="1:4">
      <c r="A8" s="45" t="s">
        <v>111</v>
      </c>
      <c r="B8" s="45">
        <v>14026.25</v>
      </c>
      <c r="C8" s="45">
        <v>33</v>
      </c>
      <c r="D8" s="45">
        <v>50</v>
      </c>
    </row>
    <row r="9" spans="1:4">
      <c r="A9" s="45" t="s">
        <v>112</v>
      </c>
      <c r="B9" s="45">
        <v>5244.25</v>
      </c>
      <c r="C9" s="45">
        <v>19</v>
      </c>
      <c r="D9" s="45">
        <v>8</v>
      </c>
    </row>
    <row r="10" spans="1:4">
      <c r="A10" s="45" t="s">
        <v>112</v>
      </c>
      <c r="B10" s="45">
        <v>405</v>
      </c>
      <c r="C10" s="45">
        <v>2</v>
      </c>
      <c r="D10" s="45">
        <v>2</v>
      </c>
    </row>
    <row r="11" spans="1:4">
      <c r="A11" s="45" t="s">
        <v>112</v>
      </c>
      <c r="B11" s="45">
        <f>B9+B10</f>
        <v>5649.25</v>
      </c>
      <c r="C11" s="45">
        <f t="shared" ref="C11:D11" si="0">C9+C10</f>
        <v>21</v>
      </c>
      <c r="D11" s="45">
        <f t="shared" si="0"/>
        <v>10</v>
      </c>
    </row>
    <row r="12" spans="1:4">
      <c r="A12" s="45" t="s">
        <v>113</v>
      </c>
      <c r="B12" s="45">
        <v>5361.5</v>
      </c>
      <c r="C12" s="45">
        <v>14</v>
      </c>
      <c r="D12" s="45">
        <v>22</v>
      </c>
    </row>
    <row r="13" spans="1:4">
      <c r="A13" s="45" t="s">
        <v>147</v>
      </c>
      <c r="B13" s="45">
        <v>3293.75</v>
      </c>
      <c r="C13" s="45">
        <v>12</v>
      </c>
      <c r="D13" s="45">
        <v>5</v>
      </c>
    </row>
    <row r="14" spans="1:4">
      <c r="A14" s="45" t="s">
        <v>113</v>
      </c>
      <c r="B14" s="45">
        <f>B13/2</f>
        <v>1646.875</v>
      </c>
      <c r="C14" s="45">
        <f t="shared" ref="C14:D14" si="1">C13/2</f>
        <v>6</v>
      </c>
      <c r="D14" s="45">
        <f t="shared" si="1"/>
        <v>2.5</v>
      </c>
    </row>
    <row r="15" spans="1:4">
      <c r="A15" s="45" t="s">
        <v>113</v>
      </c>
      <c r="B15" s="45">
        <f>B12+B14</f>
        <v>7008.375</v>
      </c>
      <c r="C15" s="45">
        <f t="shared" ref="C15:D15" si="2">C12+C14</f>
        <v>20</v>
      </c>
      <c r="D15" s="45">
        <f t="shared" si="2"/>
        <v>24.5</v>
      </c>
    </row>
    <row r="16" spans="1:4">
      <c r="A16" s="45" t="s">
        <v>148</v>
      </c>
      <c r="B16" s="45">
        <v>3150</v>
      </c>
      <c r="C16" s="45">
        <v>11</v>
      </c>
      <c r="D16" s="45">
        <v>11</v>
      </c>
    </row>
    <row r="17" spans="1:4">
      <c r="A17" s="45" t="s">
        <v>114</v>
      </c>
      <c r="B17" s="45">
        <v>1230</v>
      </c>
      <c r="C17" s="45">
        <v>3</v>
      </c>
      <c r="D17" s="45">
        <v>21</v>
      </c>
    </row>
    <row r="18" spans="1:4">
      <c r="A18" s="45" t="s">
        <v>124</v>
      </c>
      <c r="B18" s="45">
        <v>14163.5</v>
      </c>
      <c r="C18" s="45">
        <v>32</v>
      </c>
      <c r="D18" s="45">
        <v>34</v>
      </c>
    </row>
    <row r="19" spans="1:4">
      <c r="A19" s="45" t="s">
        <v>124</v>
      </c>
      <c r="B19" s="45">
        <v>856</v>
      </c>
      <c r="C19" s="45">
        <v>2</v>
      </c>
      <c r="D19" s="45">
        <v>4</v>
      </c>
    </row>
    <row r="20" spans="1:4">
      <c r="A20" s="45" t="s">
        <v>124</v>
      </c>
      <c r="B20" s="45">
        <v>951</v>
      </c>
      <c r="C20" s="45">
        <v>6</v>
      </c>
      <c r="D20" s="45">
        <v>1</v>
      </c>
    </row>
    <row r="21" spans="1:4">
      <c r="A21" s="45" t="s">
        <v>124</v>
      </c>
      <c r="B21" s="45">
        <f>SUM(B18:B20)</f>
        <v>15970.5</v>
      </c>
      <c r="C21" s="45">
        <f t="shared" ref="C21:D21" si="3">SUM(C18:C20)</f>
        <v>40</v>
      </c>
      <c r="D21" s="45">
        <f t="shared" si="3"/>
        <v>39</v>
      </c>
    </row>
    <row r="22" spans="1:4">
      <c r="A22" s="45" t="s">
        <v>115</v>
      </c>
      <c r="B22" s="45">
        <v>2256.5</v>
      </c>
      <c r="C22" s="45">
        <v>19</v>
      </c>
      <c r="D22" s="45">
        <v>4</v>
      </c>
    </row>
    <row r="23" spans="1:4">
      <c r="A23" s="45" t="s">
        <v>116</v>
      </c>
      <c r="B23" s="45">
        <v>2770</v>
      </c>
      <c r="C23" s="45">
        <v>10</v>
      </c>
      <c r="D23" s="45">
        <v>21</v>
      </c>
    </row>
    <row r="24" spans="1:4">
      <c r="A24" s="45" t="s">
        <v>149</v>
      </c>
      <c r="B24" s="45">
        <v>502</v>
      </c>
      <c r="C24" s="45">
        <v>3</v>
      </c>
      <c r="D24" s="45">
        <v>1</v>
      </c>
    </row>
    <row r="25" spans="1:4">
      <c r="A25" s="45" t="s">
        <v>146</v>
      </c>
      <c r="B25" s="45">
        <v>2546</v>
      </c>
      <c r="C25" s="45">
        <v>16</v>
      </c>
      <c r="D25" s="45">
        <v>1</v>
      </c>
    </row>
    <row r="26" spans="1:4">
      <c r="A26" s="45" t="s">
        <v>146</v>
      </c>
      <c r="B26" s="45">
        <v>790.5</v>
      </c>
      <c r="C26" s="45">
        <v>5</v>
      </c>
      <c r="D26" s="45">
        <v>20</v>
      </c>
    </row>
    <row r="27" spans="1:4">
      <c r="A27" s="45" t="s">
        <v>146</v>
      </c>
      <c r="B27" s="45">
        <v>7535</v>
      </c>
      <c r="C27" s="45">
        <v>72</v>
      </c>
      <c r="D27" s="45">
        <v>10</v>
      </c>
    </row>
    <row r="28" spans="1:4">
      <c r="A28" s="45" t="s">
        <v>146</v>
      </c>
      <c r="B28" s="45">
        <v>7179</v>
      </c>
      <c r="C28" s="45">
        <v>27</v>
      </c>
      <c r="D28" s="45">
        <v>3</v>
      </c>
    </row>
    <row r="29" spans="1:4">
      <c r="A29" s="45" t="s">
        <v>146</v>
      </c>
      <c r="B29" s="45">
        <f>SUM(B25:B28)</f>
        <v>18050.5</v>
      </c>
      <c r="C29" s="45">
        <f t="shared" ref="C29:D29" si="4">SUM(C25:C28)</f>
        <v>120</v>
      </c>
      <c r="D29" s="45">
        <f t="shared" si="4"/>
        <v>34</v>
      </c>
    </row>
    <row r="30" spans="1:4">
      <c r="A30" s="45" t="s">
        <v>117</v>
      </c>
      <c r="B30" s="45">
        <v>16327</v>
      </c>
      <c r="C30" s="45">
        <v>44</v>
      </c>
      <c r="D30" s="45">
        <v>34</v>
      </c>
    </row>
    <row r="31" spans="1:4">
      <c r="A31" s="45" t="s">
        <v>154</v>
      </c>
      <c r="B31" s="45">
        <v>643</v>
      </c>
      <c r="C31" s="45">
        <v>4</v>
      </c>
      <c r="D31" s="45">
        <v>2</v>
      </c>
    </row>
    <row r="32" spans="1:4">
      <c r="A32" s="45" t="s">
        <v>150</v>
      </c>
      <c r="B32" s="45">
        <v>170</v>
      </c>
      <c r="C32" s="45">
        <v>2</v>
      </c>
      <c r="D32" s="45">
        <v>1</v>
      </c>
    </row>
    <row r="33" spans="1:4">
      <c r="A33" s="45" t="s">
        <v>150</v>
      </c>
      <c r="B33" s="45">
        <v>3276.5</v>
      </c>
      <c r="C33" s="45">
        <v>8</v>
      </c>
      <c r="D33" s="45">
        <v>7</v>
      </c>
    </row>
    <row r="34" spans="1:4">
      <c r="A34" s="45" t="s">
        <v>150</v>
      </c>
      <c r="B34" s="45">
        <v>328.5</v>
      </c>
      <c r="C34" s="45">
        <v>4</v>
      </c>
      <c r="D34" s="45">
        <v>1</v>
      </c>
    </row>
    <row r="35" spans="1:4">
      <c r="A35" s="45" t="s">
        <v>150</v>
      </c>
      <c r="B35" s="45">
        <f>SUM(B31:B34)</f>
        <v>4418</v>
      </c>
      <c r="C35" s="45">
        <f t="shared" ref="C35:D35" si="5">SUM(C31:C34)</f>
        <v>18</v>
      </c>
      <c r="D35" s="45">
        <f t="shared" si="5"/>
        <v>11</v>
      </c>
    </row>
    <row r="36" spans="1:4">
      <c r="A36" s="45" t="s">
        <v>118</v>
      </c>
      <c r="B36" s="45">
        <v>14355</v>
      </c>
      <c r="C36" s="45">
        <v>28</v>
      </c>
      <c r="D36" s="45">
        <v>23</v>
      </c>
    </row>
    <row r="37" spans="1:4">
      <c r="A37" s="45" t="s">
        <v>119</v>
      </c>
      <c r="B37" s="45">
        <v>387</v>
      </c>
      <c r="C37" s="45">
        <v>1</v>
      </c>
      <c r="D37" s="45">
        <v>10</v>
      </c>
    </row>
    <row r="38" spans="1:4">
      <c r="A38" s="45" t="s">
        <v>120</v>
      </c>
      <c r="B38" s="45">
        <v>3712.5</v>
      </c>
      <c r="C38" s="45">
        <v>21</v>
      </c>
      <c r="D38" s="45">
        <v>12</v>
      </c>
    </row>
    <row r="39" spans="1:4">
      <c r="A39" s="45" t="s">
        <v>121</v>
      </c>
      <c r="B39" s="45">
        <v>177</v>
      </c>
      <c r="C39" s="45">
        <v>1</v>
      </c>
      <c r="D39" s="45">
        <v>2</v>
      </c>
    </row>
    <row r="40" spans="1:4">
      <c r="A40" s="45" t="s">
        <v>122</v>
      </c>
      <c r="B40" s="45">
        <v>1742</v>
      </c>
      <c r="C40" s="45">
        <v>5</v>
      </c>
      <c r="D40" s="45">
        <v>5</v>
      </c>
    </row>
    <row r="41" spans="1:4">
      <c r="A41" s="45" t="s">
        <v>125</v>
      </c>
      <c r="B41" s="45">
        <v>957.75</v>
      </c>
      <c r="C41" s="45">
        <v>5</v>
      </c>
      <c r="D41" s="45">
        <v>2</v>
      </c>
    </row>
    <row r="42" spans="1:4">
      <c r="A42" s="45" t="s">
        <v>126</v>
      </c>
      <c r="B42" s="45">
        <v>3154.5</v>
      </c>
      <c r="C42" s="45">
        <v>10</v>
      </c>
      <c r="D42" s="45">
        <v>20</v>
      </c>
    </row>
    <row r="43" spans="1:4">
      <c r="A43" s="45" t="s">
        <v>126</v>
      </c>
      <c r="B43" s="45">
        <v>260</v>
      </c>
      <c r="C43" s="45">
        <v>8</v>
      </c>
      <c r="D43" s="45">
        <v>26</v>
      </c>
    </row>
    <row r="44" spans="1:4">
      <c r="A44" s="45" t="s">
        <v>126</v>
      </c>
      <c r="B44" s="45">
        <f>SUM(B42:B43)</f>
        <v>3414.5</v>
      </c>
      <c r="C44" s="45">
        <f>SUM(C42:C43)</f>
        <v>18</v>
      </c>
      <c r="D44" s="45">
        <f>SUM(D42:D43)</f>
        <v>46</v>
      </c>
    </row>
    <row r="45" spans="1:4">
      <c r="A45" s="45" t="s">
        <v>126</v>
      </c>
      <c r="B45" s="45">
        <v>451.75</v>
      </c>
      <c r="C45" s="45">
        <v>2</v>
      </c>
      <c r="D45" s="45">
        <v>1</v>
      </c>
    </row>
    <row r="46" spans="1:4">
      <c r="A46" s="45" t="s">
        <v>126</v>
      </c>
      <c r="B46" s="45">
        <f>SUM(B42:B45)</f>
        <v>7280.75</v>
      </c>
      <c r="C46" s="45">
        <f t="shared" ref="C46:D46" si="6">SUM(C42:C45)</f>
        <v>38</v>
      </c>
      <c r="D46" s="45">
        <f t="shared" si="6"/>
        <v>93</v>
      </c>
    </row>
    <row r="47" spans="1:4">
      <c r="A47" s="46" t="s">
        <v>129</v>
      </c>
      <c r="B47" s="45">
        <v>5871.53</v>
      </c>
      <c r="C47" s="45">
        <v>14</v>
      </c>
      <c r="D47" s="45">
        <v>17</v>
      </c>
    </row>
    <row r="48" spans="1:4">
      <c r="A48" s="47" t="s">
        <v>127</v>
      </c>
      <c r="B48" s="45">
        <v>10810</v>
      </c>
      <c r="C48" s="45">
        <v>24</v>
      </c>
      <c r="D48" s="45">
        <v>101</v>
      </c>
    </row>
    <row r="49" spans="1:4">
      <c r="A49" s="46" t="s">
        <v>130</v>
      </c>
      <c r="B49" s="48">
        <v>730.5</v>
      </c>
      <c r="C49" s="45">
        <v>4</v>
      </c>
      <c r="D49" s="45">
        <v>7</v>
      </c>
    </row>
    <row r="50" spans="1:4">
      <c r="A50" s="46" t="s">
        <v>131</v>
      </c>
      <c r="B50" s="45">
        <v>1052</v>
      </c>
      <c r="C50" s="45">
        <v>3</v>
      </c>
      <c r="D50" s="45">
        <v>11</v>
      </c>
    </row>
    <row r="51" spans="1:4">
      <c r="A51" s="46" t="s">
        <v>132</v>
      </c>
      <c r="B51" s="45">
        <v>1987</v>
      </c>
      <c r="C51" s="45">
        <v>16</v>
      </c>
      <c r="D51" s="45">
        <v>11</v>
      </c>
    </row>
    <row r="52" spans="1:4">
      <c r="A52" s="46" t="s">
        <v>133</v>
      </c>
      <c r="B52" s="45">
        <v>936</v>
      </c>
      <c r="C52" s="45">
        <v>3</v>
      </c>
      <c r="D52" s="45">
        <v>3</v>
      </c>
    </row>
    <row r="53" spans="1:4">
      <c r="A53" s="46" t="s">
        <v>141</v>
      </c>
      <c r="B53" s="45">
        <v>12655.25</v>
      </c>
      <c r="C53" s="45">
        <v>30</v>
      </c>
      <c r="D53" s="45">
        <v>27</v>
      </c>
    </row>
    <row r="54" spans="1:4">
      <c r="A54" s="46" t="s">
        <v>141</v>
      </c>
      <c r="B54" s="45">
        <v>1416</v>
      </c>
      <c r="C54" s="45">
        <v>7</v>
      </c>
      <c r="D54" s="45">
        <v>1</v>
      </c>
    </row>
    <row r="55" spans="1:4">
      <c r="A55" s="46" t="s">
        <v>141</v>
      </c>
      <c r="B55" s="49">
        <f>SUM(B53:B54)</f>
        <v>14071.25</v>
      </c>
      <c r="C55" s="49">
        <f t="shared" ref="C55:D55" si="7">SUM(C53:C54)</f>
        <v>37</v>
      </c>
      <c r="D55" s="49">
        <f t="shared" si="7"/>
        <v>28</v>
      </c>
    </row>
    <row r="56" spans="1:4" s="50" customFormat="1">
      <c r="A56" s="49" t="s">
        <v>151</v>
      </c>
      <c r="B56" s="49">
        <v>1378</v>
      </c>
      <c r="C56" s="49">
        <v>11</v>
      </c>
      <c r="D56" s="49">
        <v>5</v>
      </c>
    </row>
    <row r="57" spans="1:4">
      <c r="A57" s="45" t="s">
        <v>151</v>
      </c>
      <c r="B57" s="45">
        <v>905</v>
      </c>
      <c r="C57" s="45">
        <v>10</v>
      </c>
      <c r="D57" s="45">
        <v>4</v>
      </c>
    </row>
    <row r="58" spans="1:4">
      <c r="A58" s="45" t="s">
        <v>151</v>
      </c>
      <c r="B58" s="45">
        <f>SUM(B56:B57)</f>
        <v>2283</v>
      </c>
      <c r="C58" s="45">
        <f t="shared" ref="C58:D58" si="8">SUM(C56:C57)</f>
        <v>21</v>
      </c>
      <c r="D58" s="45">
        <f t="shared" si="8"/>
        <v>9</v>
      </c>
    </row>
    <row r="59" spans="1:4">
      <c r="A59" s="46" t="s">
        <v>134</v>
      </c>
      <c r="B59" s="45">
        <v>964.7</v>
      </c>
      <c r="C59" s="45">
        <v>6</v>
      </c>
      <c r="D59" s="45">
        <v>10</v>
      </c>
    </row>
    <row r="60" spans="1:4">
      <c r="A60" s="46" t="s">
        <v>135</v>
      </c>
      <c r="B60" s="45">
        <v>6845.5</v>
      </c>
      <c r="C60" s="45">
        <v>38</v>
      </c>
      <c r="D60" s="45">
        <v>10</v>
      </c>
    </row>
    <row r="61" spans="1:4">
      <c r="A61" s="46" t="s">
        <v>136</v>
      </c>
      <c r="B61" s="45">
        <v>484</v>
      </c>
      <c r="C61" s="45">
        <v>2</v>
      </c>
      <c r="D61" s="45">
        <v>1</v>
      </c>
    </row>
    <row r="62" spans="1:4">
      <c r="A62" s="46" t="s">
        <v>137</v>
      </c>
      <c r="B62" s="45">
        <v>5471.25</v>
      </c>
      <c r="C62" s="45">
        <v>12</v>
      </c>
      <c r="D62" s="45">
        <v>29</v>
      </c>
    </row>
    <row r="63" spans="1:4">
      <c r="A63" s="46" t="s">
        <v>138</v>
      </c>
      <c r="B63" s="45">
        <v>1038.75</v>
      </c>
      <c r="C63" s="45">
        <v>4</v>
      </c>
      <c r="D63" s="45">
        <v>4</v>
      </c>
    </row>
    <row r="64" spans="1:4">
      <c r="A64" s="45" t="s">
        <v>152</v>
      </c>
      <c r="B64" s="45">
        <v>690</v>
      </c>
      <c r="C64" s="45">
        <v>5</v>
      </c>
      <c r="D64" s="45">
        <v>4</v>
      </c>
    </row>
    <row r="65" spans="1:4">
      <c r="A65" s="46" t="s">
        <v>139</v>
      </c>
      <c r="B65" s="45">
        <v>2755</v>
      </c>
      <c r="C65" s="45">
        <v>8</v>
      </c>
      <c r="D65" s="45">
        <v>18</v>
      </c>
    </row>
    <row r="66" spans="1:4">
      <c r="A66" s="46" t="s">
        <v>139</v>
      </c>
      <c r="B66" s="45">
        <f>B14</f>
        <v>1646.875</v>
      </c>
      <c r="C66" s="45">
        <f t="shared" ref="C66:D66" si="9">C14</f>
        <v>6</v>
      </c>
      <c r="D66" s="45">
        <f t="shared" si="9"/>
        <v>2.5</v>
      </c>
    </row>
    <row r="67" spans="1:4">
      <c r="A67" s="46" t="s">
        <v>139</v>
      </c>
      <c r="B67" s="45">
        <f>B65+B66</f>
        <v>4401.875</v>
      </c>
      <c r="C67" s="45">
        <f t="shared" ref="C67:D67" si="10">C65+C66</f>
        <v>14</v>
      </c>
      <c r="D67" s="45">
        <f t="shared" si="10"/>
        <v>20.5</v>
      </c>
    </row>
    <row r="68" spans="1:4">
      <c r="A68" s="46" t="s">
        <v>139</v>
      </c>
      <c r="B68" s="45">
        <f>SUM(B65:B67)</f>
        <v>8803.75</v>
      </c>
      <c r="C68" s="45">
        <f t="shared" ref="C68:D68" si="11">SUM(C65:C67)</f>
        <v>28</v>
      </c>
      <c r="D68" s="45">
        <f t="shared" si="11"/>
        <v>41</v>
      </c>
    </row>
    <row r="69" spans="1:4">
      <c r="A69" s="46" t="s">
        <v>140</v>
      </c>
      <c r="B69" s="45">
        <v>8063</v>
      </c>
      <c r="C69" s="45">
        <v>26</v>
      </c>
      <c r="D69" s="45">
        <v>45</v>
      </c>
    </row>
    <row r="70" spans="1:4">
      <c r="A70" s="45" t="s">
        <v>140</v>
      </c>
      <c r="B70" s="45">
        <v>2143.5</v>
      </c>
      <c r="C70" s="45">
        <v>6</v>
      </c>
      <c r="D70" s="45">
        <v>1</v>
      </c>
    </row>
    <row r="71" spans="1:4">
      <c r="A71" s="45" t="s">
        <v>140</v>
      </c>
      <c r="B71">
        <f>SUM(B69:B70)</f>
        <v>10206.5</v>
      </c>
      <c r="C71">
        <f t="shared" ref="C71:D71" si="12">SUM(C69:C70)</f>
        <v>32</v>
      </c>
      <c r="D71">
        <f t="shared" si="12"/>
        <v>46</v>
      </c>
    </row>
  </sheetData>
  <autoFilter ref="A1:D1" xr:uid="{283A48A4-DD4C-40E9-AB44-49D87A08419D}">
    <sortState xmlns:xlrd2="http://schemas.microsoft.com/office/spreadsheetml/2017/richdata2" ref="A2:D58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C53F-6C94-4E11-ABCE-5D132E3BD807}">
  <dimension ref="A1:M64"/>
  <sheetViews>
    <sheetView zoomScale="115" zoomScaleNormal="115" workbookViewId="0">
      <selection activeCell="B28" sqref="B28"/>
    </sheetView>
  </sheetViews>
  <sheetFormatPr defaultColWidth="8.875" defaultRowHeight="13.5"/>
  <cols>
    <col min="1" max="1" width="50" bestFit="1" customWidth="1"/>
    <col min="2" max="2" width="50" customWidth="1"/>
    <col min="3" max="3" width="10.875" bestFit="1" customWidth="1"/>
    <col min="4" max="4" width="5.125" bestFit="1" customWidth="1"/>
    <col min="5" max="5" width="10.5" bestFit="1" customWidth="1"/>
    <col min="6" max="6" width="20.125" bestFit="1" customWidth="1"/>
    <col min="8" max="8" width="32" bestFit="1" customWidth="1"/>
    <col min="9" max="9" width="32" customWidth="1"/>
    <col min="10" max="10" width="12.125" customWidth="1"/>
    <col min="11" max="11" width="11" bestFit="1" customWidth="1"/>
    <col min="12" max="12" width="10.375" customWidth="1"/>
  </cols>
  <sheetData>
    <row r="1" spans="1:13">
      <c r="H1" s="4"/>
      <c r="I1" s="4"/>
      <c r="J1" s="4"/>
      <c r="K1" s="4" t="s">
        <v>99</v>
      </c>
      <c r="L1" s="17">
        <f>MIN(L5:L42)</f>
        <v>38.700000000000003</v>
      </c>
      <c r="M1" s="20"/>
    </row>
    <row r="2" spans="1:13">
      <c r="A2" s="1" t="s">
        <v>102</v>
      </c>
      <c r="B2" s="1"/>
      <c r="C2" s="2"/>
      <c r="D2" s="2"/>
      <c r="E2" s="2"/>
      <c r="H2" s="3" t="s">
        <v>104</v>
      </c>
      <c r="I2" s="3"/>
      <c r="J2" s="4" t="s">
        <v>103</v>
      </c>
      <c r="K2" s="4" t="s">
        <v>100</v>
      </c>
      <c r="L2" s="17">
        <f>MAX(L5:L42)</f>
        <v>734.75</v>
      </c>
      <c r="M2" s="20"/>
    </row>
    <row r="3" spans="1:13">
      <c r="A3" s="2"/>
      <c r="B3" s="2"/>
      <c r="C3" s="2">
        <f>SUM(C5:C64)</f>
        <v>217205.98</v>
      </c>
      <c r="D3" s="2">
        <f t="shared" ref="D3:E3" si="0">SUM(D5:D64)</f>
        <v>768</v>
      </c>
      <c r="E3" s="2">
        <f t="shared" si="0"/>
        <v>828</v>
      </c>
      <c r="H3" s="4"/>
      <c r="I3" s="4"/>
      <c r="J3" s="4"/>
      <c r="K3" s="4" t="s">
        <v>101</v>
      </c>
      <c r="L3" s="17">
        <f>AVERAGE(L5:L42)</f>
        <v>290.23914638178894</v>
      </c>
      <c r="M3" s="20"/>
    </row>
    <row r="4" spans="1:13" ht="45">
      <c r="A4" s="14" t="s">
        <v>55</v>
      </c>
      <c r="B4" s="14" t="s">
        <v>105</v>
      </c>
      <c r="C4" s="14" t="s">
        <v>54</v>
      </c>
      <c r="D4" s="14" t="s">
        <v>56</v>
      </c>
      <c r="E4" s="14" t="s">
        <v>95</v>
      </c>
      <c r="F4" s="38"/>
      <c r="H4" s="5" t="s">
        <v>96</v>
      </c>
      <c r="I4" s="5" t="s">
        <v>105</v>
      </c>
      <c r="J4" s="6" t="s">
        <v>93</v>
      </c>
      <c r="K4" s="7" t="s">
        <v>94</v>
      </c>
      <c r="L4" s="18" t="s">
        <v>98</v>
      </c>
      <c r="M4" s="37">
        <v>500</v>
      </c>
    </row>
    <row r="5" spans="1:13" ht="14.25">
      <c r="A5" s="15" t="s">
        <v>0</v>
      </c>
      <c r="B5" s="15" t="s">
        <v>106</v>
      </c>
      <c r="C5" s="15">
        <v>5281</v>
      </c>
      <c r="D5" s="15">
        <v>20</v>
      </c>
      <c r="E5" s="15">
        <v>19</v>
      </c>
      <c r="F5" s="39"/>
      <c r="H5" s="8" t="s">
        <v>57</v>
      </c>
      <c r="I5" s="33" t="s">
        <v>106</v>
      </c>
      <c r="J5" s="9">
        <v>5282</v>
      </c>
      <c r="K5" s="10">
        <v>23</v>
      </c>
      <c r="L5" s="19">
        <f>J5/K5</f>
        <v>229.65217391304347</v>
      </c>
      <c r="M5" s="21">
        <f>ROUND(J5/$M$4,0)</f>
        <v>11</v>
      </c>
    </row>
    <row r="6" spans="1:13" ht="14.25">
      <c r="A6" s="15" t="s">
        <v>1</v>
      </c>
      <c r="B6" s="15" t="s">
        <v>107</v>
      </c>
      <c r="C6" s="15">
        <v>3390</v>
      </c>
      <c r="D6" s="15">
        <v>7</v>
      </c>
      <c r="E6" s="15">
        <v>17</v>
      </c>
      <c r="F6" s="39"/>
      <c r="H6" s="8" t="s">
        <v>58</v>
      </c>
      <c r="I6" s="33" t="s">
        <v>107</v>
      </c>
      <c r="J6" s="9">
        <v>3390</v>
      </c>
      <c r="K6" s="10">
        <v>21</v>
      </c>
      <c r="L6" s="19">
        <f t="shared" ref="L6:L42" si="1">J6/K6</f>
        <v>161.42857142857142</v>
      </c>
      <c r="M6" s="21">
        <f>ROUND(J6/$M$4,0)</f>
        <v>7</v>
      </c>
    </row>
    <row r="7" spans="1:13" ht="14.25">
      <c r="A7" s="15" t="s">
        <v>2</v>
      </c>
      <c r="B7" s="15" t="s">
        <v>108</v>
      </c>
      <c r="C7" s="15">
        <v>12843</v>
      </c>
      <c r="D7" s="15">
        <v>29</v>
      </c>
      <c r="E7" s="15">
        <v>24</v>
      </c>
      <c r="F7" s="39"/>
      <c r="H7" s="8" t="s">
        <v>59</v>
      </c>
      <c r="I7" s="33" t="s">
        <v>108</v>
      </c>
      <c r="J7" s="9">
        <v>12843</v>
      </c>
      <c r="K7" s="10">
        <v>24</v>
      </c>
      <c r="L7" s="19">
        <f t="shared" si="1"/>
        <v>535.125</v>
      </c>
      <c r="M7" s="21">
        <f t="shared" ref="M7:M31" si="2">ROUND(J7/$M$4,0)</f>
        <v>26</v>
      </c>
    </row>
    <row r="8" spans="1:13" ht="14.25">
      <c r="A8" s="15" t="s">
        <v>3</v>
      </c>
      <c r="B8" s="15" t="s">
        <v>109</v>
      </c>
      <c r="C8" s="15">
        <v>4639</v>
      </c>
      <c r="D8" s="15">
        <v>10</v>
      </c>
      <c r="E8" s="15">
        <v>27</v>
      </c>
      <c r="F8" s="39"/>
      <c r="H8" s="8" t="s">
        <v>60</v>
      </c>
      <c r="I8" s="33" t="s">
        <v>109</v>
      </c>
      <c r="J8" s="9">
        <v>4800</v>
      </c>
      <c r="K8" s="10">
        <v>50</v>
      </c>
      <c r="L8" s="19">
        <f t="shared" si="1"/>
        <v>96</v>
      </c>
      <c r="M8" s="21">
        <f t="shared" si="2"/>
        <v>10</v>
      </c>
    </row>
    <row r="9" spans="1:13" ht="14.25">
      <c r="A9" s="15" t="s">
        <v>4</v>
      </c>
      <c r="B9" s="15" t="s">
        <v>123</v>
      </c>
      <c r="C9" s="15">
        <v>1976</v>
      </c>
      <c r="D9" s="15">
        <v>19</v>
      </c>
      <c r="E9" s="15">
        <v>7</v>
      </c>
      <c r="F9" s="39"/>
      <c r="H9" s="8" t="s">
        <v>61</v>
      </c>
      <c r="I9" s="33" t="s">
        <v>123</v>
      </c>
      <c r="J9" s="9">
        <v>1976.5</v>
      </c>
      <c r="K9" s="10">
        <v>7</v>
      </c>
      <c r="L9" s="19">
        <f t="shared" si="1"/>
        <v>282.35714285714283</v>
      </c>
      <c r="M9" s="21">
        <f t="shared" si="2"/>
        <v>4</v>
      </c>
    </row>
    <row r="10" spans="1:13" ht="14.25">
      <c r="A10" s="15" t="s">
        <v>21</v>
      </c>
      <c r="B10" s="15" t="s">
        <v>110</v>
      </c>
      <c r="C10" s="15">
        <v>1262.75</v>
      </c>
      <c r="D10" s="15">
        <v>7</v>
      </c>
      <c r="E10" s="15">
        <v>15</v>
      </c>
      <c r="F10" s="39"/>
      <c r="H10" s="8" t="s">
        <v>62</v>
      </c>
      <c r="I10" s="33" t="s">
        <v>110</v>
      </c>
      <c r="J10" s="9">
        <v>1207.5</v>
      </c>
      <c r="K10" s="10">
        <v>15</v>
      </c>
      <c r="L10" s="19">
        <f t="shared" si="1"/>
        <v>80.5</v>
      </c>
      <c r="M10" s="21">
        <f t="shared" si="2"/>
        <v>2</v>
      </c>
    </row>
    <row r="11" spans="1:13" ht="14.25">
      <c r="A11" s="15" t="s">
        <v>6</v>
      </c>
      <c r="B11" s="15" t="s">
        <v>112</v>
      </c>
      <c r="C11" s="15">
        <v>5244.25</v>
      </c>
      <c r="D11" s="15">
        <v>19</v>
      </c>
      <c r="E11" s="15">
        <v>8</v>
      </c>
      <c r="F11" s="39"/>
      <c r="H11" s="8" t="s">
        <v>63</v>
      </c>
      <c r="I11" s="33" t="s">
        <v>112</v>
      </c>
      <c r="J11" s="9">
        <v>5762</v>
      </c>
      <c r="K11" s="10">
        <v>8</v>
      </c>
      <c r="L11" s="19">
        <f t="shared" si="1"/>
        <v>720.25</v>
      </c>
      <c r="M11" s="21">
        <f t="shared" si="2"/>
        <v>12</v>
      </c>
    </row>
    <row r="12" spans="1:13" ht="14.25">
      <c r="A12" s="15" t="s">
        <v>7</v>
      </c>
      <c r="B12" s="15" t="s">
        <v>111</v>
      </c>
      <c r="C12" s="15">
        <v>14026.25</v>
      </c>
      <c r="D12" s="15">
        <v>33</v>
      </c>
      <c r="E12" s="15">
        <v>50</v>
      </c>
      <c r="F12" s="39"/>
      <c r="H12" s="10" t="s">
        <v>64</v>
      </c>
      <c r="I12" s="33" t="s">
        <v>111</v>
      </c>
      <c r="J12" s="9">
        <v>14189</v>
      </c>
      <c r="K12" s="10">
        <v>51</v>
      </c>
      <c r="L12" s="19">
        <f t="shared" si="1"/>
        <v>278.21568627450978</v>
      </c>
      <c r="M12" s="21">
        <f t="shared" si="2"/>
        <v>28</v>
      </c>
    </row>
    <row r="13" spans="1:13" ht="14.25">
      <c r="A13" s="15" t="s">
        <v>8</v>
      </c>
      <c r="B13" s="15" t="s">
        <v>113</v>
      </c>
      <c r="C13" s="15">
        <v>5361.5</v>
      </c>
      <c r="D13" s="15">
        <v>14</v>
      </c>
      <c r="E13" s="15">
        <v>22</v>
      </c>
      <c r="F13" s="39"/>
      <c r="H13" s="11" t="s">
        <v>65</v>
      </c>
      <c r="I13" s="33" t="s">
        <v>113</v>
      </c>
      <c r="J13" s="12">
        <v>5961.5</v>
      </c>
      <c r="K13" s="11">
        <v>24</v>
      </c>
      <c r="L13" s="19">
        <f t="shared" si="1"/>
        <v>248.39583333333334</v>
      </c>
      <c r="M13" s="21">
        <f t="shared" si="2"/>
        <v>12</v>
      </c>
    </row>
    <row r="14" spans="1:13" ht="14.25">
      <c r="A14" s="15" t="s">
        <v>12</v>
      </c>
      <c r="B14" s="15" t="s">
        <v>114</v>
      </c>
      <c r="C14" s="15">
        <v>1230</v>
      </c>
      <c r="D14" s="15">
        <v>3</v>
      </c>
      <c r="E14" s="15">
        <v>21</v>
      </c>
      <c r="F14" s="39"/>
      <c r="H14" s="11" t="s">
        <v>66</v>
      </c>
      <c r="I14" s="33" t="s">
        <v>114</v>
      </c>
      <c r="J14" s="12">
        <v>1230</v>
      </c>
      <c r="K14" s="11">
        <v>21</v>
      </c>
      <c r="L14" s="19">
        <f t="shared" si="1"/>
        <v>58.571428571428569</v>
      </c>
      <c r="M14" s="21">
        <f t="shared" si="2"/>
        <v>2</v>
      </c>
    </row>
    <row r="15" spans="1:13" ht="14.25">
      <c r="A15" s="15" t="s">
        <v>14</v>
      </c>
      <c r="B15" s="15" t="s">
        <v>124</v>
      </c>
      <c r="C15" s="15">
        <v>14163.5</v>
      </c>
      <c r="D15" s="15">
        <v>32</v>
      </c>
      <c r="E15" s="15">
        <v>34</v>
      </c>
      <c r="F15" s="39"/>
      <c r="H15" s="11" t="s">
        <v>67</v>
      </c>
      <c r="I15" s="33" t="s">
        <v>124</v>
      </c>
      <c r="J15" s="12">
        <v>14163.5</v>
      </c>
      <c r="K15" s="11">
        <v>37</v>
      </c>
      <c r="L15" s="19">
        <f t="shared" si="1"/>
        <v>382.79729729729729</v>
      </c>
      <c r="M15" s="21">
        <f t="shared" si="2"/>
        <v>28</v>
      </c>
    </row>
    <row r="16" spans="1:13" ht="14.25">
      <c r="A16" s="15" t="s">
        <v>13</v>
      </c>
      <c r="B16" s="15" t="s">
        <v>115</v>
      </c>
      <c r="C16" s="15">
        <v>2256.5</v>
      </c>
      <c r="D16" s="15">
        <v>19</v>
      </c>
      <c r="E16" s="15">
        <v>4</v>
      </c>
      <c r="F16" s="39"/>
      <c r="H16" s="8" t="s">
        <v>68</v>
      </c>
      <c r="I16" s="33" t="s">
        <v>115</v>
      </c>
      <c r="J16" s="9">
        <v>2257</v>
      </c>
      <c r="K16" s="10">
        <v>4</v>
      </c>
      <c r="L16" s="19">
        <f t="shared" si="1"/>
        <v>564.25</v>
      </c>
      <c r="M16" s="21">
        <f t="shared" si="2"/>
        <v>5</v>
      </c>
    </row>
    <row r="17" spans="1:13" ht="14.25">
      <c r="A17" s="15" t="s">
        <v>15</v>
      </c>
      <c r="B17" s="15" t="s">
        <v>116</v>
      </c>
      <c r="C17" s="15">
        <v>2770</v>
      </c>
      <c r="D17" s="15">
        <v>10</v>
      </c>
      <c r="E17" s="15">
        <v>21</v>
      </c>
      <c r="F17" s="39"/>
      <c r="H17" s="8" t="s">
        <v>69</v>
      </c>
      <c r="I17" s="33" t="s">
        <v>116</v>
      </c>
      <c r="J17" s="9">
        <v>2770</v>
      </c>
      <c r="K17" s="10">
        <v>21</v>
      </c>
      <c r="L17" s="19">
        <f t="shared" si="1"/>
        <v>131.9047619047619</v>
      </c>
      <c r="M17" s="21">
        <f t="shared" si="2"/>
        <v>6</v>
      </c>
    </row>
    <row r="18" spans="1:13" ht="14.25">
      <c r="A18" s="15" t="s">
        <v>20</v>
      </c>
      <c r="B18" s="15" t="s">
        <v>117</v>
      </c>
      <c r="C18" s="15">
        <v>16327</v>
      </c>
      <c r="D18" s="15">
        <v>44</v>
      </c>
      <c r="E18" s="15">
        <v>34</v>
      </c>
      <c r="F18" s="39"/>
      <c r="H18" s="8" t="s">
        <v>70</v>
      </c>
      <c r="I18" s="33" t="s">
        <v>117</v>
      </c>
      <c r="J18" s="9">
        <v>16327</v>
      </c>
      <c r="K18" s="10">
        <v>34</v>
      </c>
      <c r="L18" s="19">
        <f t="shared" si="1"/>
        <v>480.20588235294116</v>
      </c>
      <c r="M18" s="21">
        <f t="shared" si="2"/>
        <v>33</v>
      </c>
    </row>
    <row r="19" spans="1:13" ht="14.25">
      <c r="A19" s="15" t="s">
        <v>24</v>
      </c>
      <c r="B19" s="15" t="s">
        <v>118</v>
      </c>
      <c r="C19" s="15">
        <v>14355</v>
      </c>
      <c r="D19" s="15">
        <v>28</v>
      </c>
      <c r="E19" s="15">
        <v>23</v>
      </c>
      <c r="F19" s="39"/>
      <c r="H19" s="8" t="s">
        <v>71</v>
      </c>
      <c r="I19" s="33" t="s">
        <v>118</v>
      </c>
      <c r="J19" s="9">
        <v>14325</v>
      </c>
      <c r="K19" s="10">
        <v>34</v>
      </c>
      <c r="L19" s="19">
        <f t="shared" si="1"/>
        <v>421.3235294117647</v>
      </c>
      <c r="M19" s="21">
        <f t="shared" si="2"/>
        <v>29</v>
      </c>
    </row>
    <row r="20" spans="1:13" ht="14.25">
      <c r="A20" s="15" t="s">
        <v>22</v>
      </c>
      <c r="B20" s="15" t="s">
        <v>119</v>
      </c>
      <c r="C20" s="15">
        <v>387</v>
      </c>
      <c r="D20" s="15">
        <v>1</v>
      </c>
      <c r="E20" s="15">
        <v>10</v>
      </c>
      <c r="F20" s="39"/>
      <c r="H20" s="8" t="s">
        <v>72</v>
      </c>
      <c r="I20" s="33" t="s">
        <v>119</v>
      </c>
      <c r="J20" s="9">
        <v>387</v>
      </c>
      <c r="K20" s="10">
        <v>10</v>
      </c>
      <c r="L20" s="19">
        <f t="shared" si="1"/>
        <v>38.700000000000003</v>
      </c>
      <c r="M20" s="21">
        <f t="shared" si="2"/>
        <v>1</v>
      </c>
    </row>
    <row r="21" spans="1:13" ht="14.25">
      <c r="A21" s="15" t="s">
        <v>23</v>
      </c>
      <c r="B21" s="15" t="s">
        <v>120</v>
      </c>
      <c r="C21" s="15">
        <v>3712.5</v>
      </c>
      <c r="D21" s="15">
        <v>21</v>
      </c>
      <c r="E21" s="15">
        <v>12</v>
      </c>
      <c r="F21" s="39"/>
      <c r="H21" s="8" t="s">
        <v>73</v>
      </c>
      <c r="I21" s="33" t="s">
        <v>120</v>
      </c>
      <c r="J21" s="9">
        <v>4228.5</v>
      </c>
      <c r="K21" s="10">
        <v>19</v>
      </c>
      <c r="L21" s="19">
        <f t="shared" si="1"/>
        <v>222.55263157894737</v>
      </c>
      <c r="M21" s="21">
        <f t="shared" si="2"/>
        <v>8</v>
      </c>
    </row>
    <row r="22" spans="1:13" ht="14.25">
      <c r="A22" s="15" t="s">
        <v>41</v>
      </c>
      <c r="B22" s="15" t="s">
        <v>121</v>
      </c>
      <c r="C22" s="15">
        <v>177</v>
      </c>
      <c r="D22" s="15">
        <v>1</v>
      </c>
      <c r="E22" s="15">
        <v>2</v>
      </c>
      <c r="F22" s="39"/>
      <c r="H22" s="8" t="s">
        <v>74</v>
      </c>
      <c r="I22" s="33" t="s">
        <v>121</v>
      </c>
      <c r="J22" s="9">
        <v>240</v>
      </c>
      <c r="K22" s="10">
        <v>6</v>
      </c>
      <c r="L22" s="19">
        <f t="shared" si="1"/>
        <v>40</v>
      </c>
      <c r="M22" s="21">
        <f t="shared" si="2"/>
        <v>0</v>
      </c>
    </row>
    <row r="23" spans="1:13" ht="14.25">
      <c r="A23" s="15" t="s">
        <v>25</v>
      </c>
      <c r="B23" s="15" t="s">
        <v>122</v>
      </c>
      <c r="C23" s="15">
        <v>1742</v>
      </c>
      <c r="D23" s="15">
        <v>5</v>
      </c>
      <c r="E23" s="15">
        <v>5</v>
      </c>
      <c r="F23" s="39"/>
      <c r="H23" s="8" t="s">
        <v>75</v>
      </c>
      <c r="I23" s="33" t="s">
        <v>122</v>
      </c>
      <c r="J23" s="9">
        <v>1742</v>
      </c>
      <c r="K23" s="10">
        <v>5</v>
      </c>
      <c r="L23" s="19">
        <f t="shared" si="1"/>
        <v>348.4</v>
      </c>
      <c r="M23" s="21">
        <f t="shared" si="2"/>
        <v>3</v>
      </c>
    </row>
    <row r="24" spans="1:13" ht="14.25">
      <c r="A24" s="15"/>
      <c r="B24" s="15"/>
      <c r="C24" s="15"/>
      <c r="D24" s="15"/>
      <c r="E24" s="15"/>
      <c r="F24" s="39"/>
      <c r="H24" s="8" t="s">
        <v>76</v>
      </c>
      <c r="I24" s="8" t="s">
        <v>128</v>
      </c>
      <c r="J24" s="9">
        <v>1538</v>
      </c>
      <c r="K24" s="10">
        <v>27</v>
      </c>
      <c r="L24" s="19">
        <f t="shared" si="1"/>
        <v>56.962962962962962</v>
      </c>
      <c r="M24" s="21">
        <f t="shared" si="2"/>
        <v>3</v>
      </c>
    </row>
    <row r="25" spans="1:13" ht="14.25">
      <c r="A25" s="15" t="s">
        <v>26</v>
      </c>
      <c r="B25" s="15" t="s">
        <v>125</v>
      </c>
      <c r="C25" s="15">
        <v>957.75</v>
      </c>
      <c r="D25" s="15">
        <v>5</v>
      </c>
      <c r="E25" s="15">
        <v>2</v>
      </c>
      <c r="F25" s="39"/>
      <c r="H25" s="8" t="s">
        <v>77</v>
      </c>
      <c r="I25" s="8" t="s">
        <v>125</v>
      </c>
      <c r="J25" s="13">
        <v>1087</v>
      </c>
      <c r="K25" s="10">
        <v>2</v>
      </c>
      <c r="L25" s="19">
        <f t="shared" si="1"/>
        <v>543.5</v>
      </c>
      <c r="M25" s="21">
        <f t="shared" si="2"/>
        <v>2</v>
      </c>
    </row>
    <row r="26" spans="1:13" ht="14.25">
      <c r="A26" s="15" t="s">
        <v>27</v>
      </c>
      <c r="B26" s="15" t="s">
        <v>126</v>
      </c>
      <c r="C26" s="15">
        <v>3154.5</v>
      </c>
      <c r="D26" s="15">
        <v>10</v>
      </c>
      <c r="E26" s="15">
        <v>20</v>
      </c>
      <c r="F26" s="39"/>
      <c r="H26" s="8" t="s">
        <v>78</v>
      </c>
      <c r="I26" s="8" t="s">
        <v>126</v>
      </c>
      <c r="J26" s="9">
        <v>3923.5</v>
      </c>
      <c r="K26" s="10">
        <v>26</v>
      </c>
      <c r="L26" s="19">
        <f t="shared" si="1"/>
        <v>150.90384615384616</v>
      </c>
      <c r="M26" s="21">
        <f t="shared" si="2"/>
        <v>8</v>
      </c>
    </row>
    <row r="27" spans="1:13">
      <c r="A27" s="15" t="s">
        <v>28</v>
      </c>
      <c r="B27" s="15" t="s">
        <v>126</v>
      </c>
      <c r="C27" s="15">
        <v>260</v>
      </c>
      <c r="D27" s="15">
        <v>8</v>
      </c>
      <c r="E27" s="15">
        <v>26</v>
      </c>
      <c r="F27" s="39"/>
      <c r="H27" s="16"/>
      <c r="I27" s="16"/>
      <c r="J27" s="16"/>
      <c r="K27" s="16"/>
      <c r="L27" s="19"/>
      <c r="M27" s="21">
        <f t="shared" si="2"/>
        <v>0</v>
      </c>
    </row>
    <row r="28" spans="1:13">
      <c r="A28" s="15" t="s">
        <v>144</v>
      </c>
      <c r="B28" s="15" t="s">
        <v>126</v>
      </c>
      <c r="C28" s="15">
        <f>SUM(C26:C27)</f>
        <v>3414.5</v>
      </c>
      <c r="D28" s="15">
        <f t="shared" ref="D28:E28" si="3">SUM(D26:D27)</f>
        <v>18</v>
      </c>
      <c r="E28" s="15">
        <f t="shared" si="3"/>
        <v>46</v>
      </c>
      <c r="F28" s="39"/>
      <c r="H28" s="16"/>
      <c r="I28" s="16"/>
      <c r="J28" s="16"/>
      <c r="K28" s="16"/>
      <c r="L28" s="19"/>
      <c r="M28" s="21"/>
    </row>
    <row r="29" spans="1:13" ht="14.25">
      <c r="A29" s="15" t="s">
        <v>31</v>
      </c>
      <c r="B29" s="41" t="s">
        <v>129</v>
      </c>
      <c r="C29" s="15">
        <v>5871.53</v>
      </c>
      <c r="D29" s="15">
        <v>14</v>
      </c>
      <c r="E29" s="15">
        <v>17</v>
      </c>
      <c r="F29" s="39"/>
      <c r="H29" s="8" t="s">
        <v>79</v>
      </c>
      <c r="I29" s="8" t="s">
        <v>129</v>
      </c>
      <c r="J29" s="9">
        <v>6321</v>
      </c>
      <c r="K29" s="10">
        <v>17</v>
      </c>
      <c r="L29" s="19">
        <f t="shared" si="1"/>
        <v>371.8235294117647</v>
      </c>
      <c r="M29" s="21">
        <f t="shared" si="2"/>
        <v>13</v>
      </c>
    </row>
    <row r="30" spans="1:13" ht="14.25">
      <c r="A30" s="15" t="s">
        <v>34</v>
      </c>
      <c r="B30" s="42" t="s">
        <v>127</v>
      </c>
      <c r="C30" s="15">
        <v>10810</v>
      </c>
      <c r="D30" s="15">
        <v>24</v>
      </c>
      <c r="E30" s="15">
        <v>101</v>
      </c>
      <c r="F30" s="39"/>
      <c r="H30" s="10" t="s">
        <v>80</v>
      </c>
      <c r="I30" s="10" t="s">
        <v>127</v>
      </c>
      <c r="J30" s="9">
        <v>10810</v>
      </c>
      <c r="K30" s="10">
        <v>101</v>
      </c>
      <c r="L30" s="19">
        <f t="shared" si="1"/>
        <v>107.02970297029702</v>
      </c>
      <c r="M30" s="21">
        <f t="shared" si="2"/>
        <v>22</v>
      </c>
    </row>
    <row r="31" spans="1:13" ht="14.25">
      <c r="A31" s="15" t="s">
        <v>35</v>
      </c>
      <c r="B31" s="41" t="s">
        <v>130</v>
      </c>
      <c r="C31" s="43">
        <v>730.5</v>
      </c>
      <c r="D31" s="15">
        <v>4</v>
      </c>
      <c r="E31" s="15">
        <v>7</v>
      </c>
      <c r="F31" s="39" t="s">
        <v>153</v>
      </c>
      <c r="H31" s="8" t="s">
        <v>81</v>
      </c>
      <c r="I31" s="8" t="s">
        <v>130</v>
      </c>
      <c r="J31" s="9">
        <v>730.5</v>
      </c>
      <c r="K31" s="10">
        <v>7</v>
      </c>
      <c r="L31" s="19">
        <f t="shared" si="1"/>
        <v>104.35714285714286</v>
      </c>
      <c r="M31" s="21">
        <f t="shared" si="2"/>
        <v>1</v>
      </c>
    </row>
    <row r="32" spans="1:13" ht="14.25">
      <c r="A32" s="15" t="s">
        <v>36</v>
      </c>
      <c r="B32" s="41" t="s">
        <v>131</v>
      </c>
      <c r="C32" s="15">
        <v>1052</v>
      </c>
      <c r="D32" s="15">
        <v>3</v>
      </c>
      <c r="E32" s="15">
        <v>11</v>
      </c>
      <c r="F32" s="39"/>
      <c r="H32" s="8" t="s">
        <v>82</v>
      </c>
      <c r="I32" s="8" t="s">
        <v>131</v>
      </c>
      <c r="J32" s="9">
        <v>1100</v>
      </c>
      <c r="K32" s="10">
        <v>8</v>
      </c>
      <c r="L32" s="19">
        <f t="shared" si="1"/>
        <v>137.5</v>
      </c>
      <c r="M32" s="21">
        <f>ROUND(J32/$M$4,0)</f>
        <v>2</v>
      </c>
    </row>
    <row r="33" spans="1:13" ht="14.25">
      <c r="A33" s="15" t="s">
        <v>38</v>
      </c>
      <c r="B33" s="41" t="s">
        <v>132</v>
      </c>
      <c r="C33" s="15">
        <v>1987</v>
      </c>
      <c r="D33" s="15">
        <v>16</v>
      </c>
      <c r="E33" s="15">
        <v>11</v>
      </c>
      <c r="F33" s="39"/>
      <c r="H33" s="8" t="s">
        <v>83</v>
      </c>
      <c r="I33" s="8" t="s">
        <v>132</v>
      </c>
      <c r="J33" s="9">
        <v>1941.05</v>
      </c>
      <c r="K33" s="10">
        <v>11</v>
      </c>
      <c r="L33" s="19">
        <f t="shared" si="1"/>
        <v>176.45909090909092</v>
      </c>
      <c r="M33" s="21">
        <f>ROUND(J33/$M$4,0)</f>
        <v>4</v>
      </c>
    </row>
    <row r="34" spans="1:13" ht="14.25">
      <c r="A34" s="15" t="s">
        <v>39</v>
      </c>
      <c r="B34" s="41" t="s">
        <v>133</v>
      </c>
      <c r="C34" s="15">
        <v>936</v>
      </c>
      <c r="D34" s="15">
        <v>3</v>
      </c>
      <c r="E34" s="15">
        <v>3</v>
      </c>
      <c r="F34" s="39"/>
      <c r="H34" s="8" t="s">
        <v>84</v>
      </c>
      <c r="I34" s="8" t="s">
        <v>133</v>
      </c>
      <c r="J34" s="9">
        <v>936</v>
      </c>
      <c r="K34" s="10">
        <v>2</v>
      </c>
      <c r="L34" s="19">
        <f t="shared" si="1"/>
        <v>468</v>
      </c>
      <c r="M34" s="21">
        <f t="shared" ref="M34:M42" si="4">ROUND(J34/$M$4,0)</f>
        <v>2</v>
      </c>
    </row>
    <row r="35" spans="1:13" ht="14.25">
      <c r="A35" s="15" t="s">
        <v>44</v>
      </c>
      <c r="B35" s="41" t="s">
        <v>134</v>
      </c>
      <c r="C35" s="15">
        <v>964.7</v>
      </c>
      <c r="D35" s="15">
        <v>6</v>
      </c>
      <c r="E35" s="15">
        <v>10</v>
      </c>
      <c r="F35" s="39"/>
      <c r="H35" s="8" t="s">
        <v>85</v>
      </c>
      <c r="I35" s="8" t="s">
        <v>134</v>
      </c>
      <c r="J35" s="9">
        <v>965</v>
      </c>
      <c r="K35" s="10">
        <v>10</v>
      </c>
      <c r="L35" s="19">
        <f t="shared" si="1"/>
        <v>96.5</v>
      </c>
      <c r="M35" s="21">
        <f t="shared" si="4"/>
        <v>2</v>
      </c>
    </row>
    <row r="36" spans="1:13" ht="14.25">
      <c r="A36" s="15" t="s">
        <v>33</v>
      </c>
      <c r="B36" s="41" t="s">
        <v>141</v>
      </c>
      <c r="C36" s="15">
        <v>12655.25</v>
      </c>
      <c r="D36" s="15">
        <v>30</v>
      </c>
      <c r="E36" s="15">
        <v>27</v>
      </c>
      <c r="F36" s="39"/>
      <c r="H36" s="8" t="s">
        <v>86</v>
      </c>
      <c r="I36" s="8" t="s">
        <v>141</v>
      </c>
      <c r="J36" s="9">
        <v>11708</v>
      </c>
      <c r="K36" s="10">
        <v>30</v>
      </c>
      <c r="L36" s="19">
        <f t="shared" si="1"/>
        <v>390.26666666666665</v>
      </c>
      <c r="M36" s="21">
        <f t="shared" si="4"/>
        <v>23</v>
      </c>
    </row>
    <row r="37" spans="1:13" ht="14.25">
      <c r="A37" s="15" t="s">
        <v>45</v>
      </c>
      <c r="B37" s="41" t="s">
        <v>135</v>
      </c>
      <c r="C37" s="15">
        <v>6845.5</v>
      </c>
      <c r="D37" s="15">
        <v>38</v>
      </c>
      <c r="E37" s="15">
        <v>10</v>
      </c>
      <c r="F37" s="39"/>
      <c r="H37" s="8" t="s">
        <v>87</v>
      </c>
      <c r="I37" s="8" t="s">
        <v>135</v>
      </c>
      <c r="J37" s="9">
        <v>6845.5</v>
      </c>
      <c r="K37" s="10">
        <v>10</v>
      </c>
      <c r="L37" s="19">
        <f t="shared" si="1"/>
        <v>684.55</v>
      </c>
      <c r="M37" s="21">
        <f t="shared" si="4"/>
        <v>14</v>
      </c>
    </row>
    <row r="38" spans="1:13" ht="14.25">
      <c r="A38" s="15" t="s">
        <v>46</v>
      </c>
      <c r="B38" s="41" t="s">
        <v>136</v>
      </c>
      <c r="C38" s="15">
        <v>484</v>
      </c>
      <c r="D38" s="15">
        <v>2</v>
      </c>
      <c r="E38" s="15">
        <v>1</v>
      </c>
      <c r="F38" s="39"/>
      <c r="H38" s="8" t="s">
        <v>88</v>
      </c>
      <c r="I38" s="8" t="s">
        <v>136</v>
      </c>
      <c r="J38" s="9">
        <v>484</v>
      </c>
      <c r="K38" s="10">
        <v>1</v>
      </c>
      <c r="L38" s="19">
        <f t="shared" si="1"/>
        <v>484</v>
      </c>
      <c r="M38" s="21">
        <f t="shared" si="4"/>
        <v>1</v>
      </c>
    </row>
    <row r="39" spans="1:13" ht="14.25">
      <c r="A39" s="15" t="s">
        <v>47</v>
      </c>
      <c r="B39" s="41" t="s">
        <v>137</v>
      </c>
      <c r="C39" s="15">
        <v>5471.25</v>
      </c>
      <c r="D39" s="15">
        <v>12</v>
      </c>
      <c r="E39" s="15">
        <v>29</v>
      </c>
      <c r="F39" s="39"/>
      <c r="H39" s="8" t="s">
        <v>89</v>
      </c>
      <c r="I39" s="8" t="s">
        <v>137</v>
      </c>
      <c r="J39" s="9">
        <v>5475</v>
      </c>
      <c r="K39" s="10">
        <v>30</v>
      </c>
      <c r="L39" s="19">
        <f t="shared" si="1"/>
        <v>182.5</v>
      </c>
      <c r="M39" s="21">
        <f t="shared" si="4"/>
        <v>11</v>
      </c>
    </row>
    <row r="40" spans="1:13" ht="14.25">
      <c r="A40" s="15" t="s">
        <v>49</v>
      </c>
      <c r="B40" s="41" t="s">
        <v>138</v>
      </c>
      <c r="C40" s="15">
        <v>1038.75</v>
      </c>
      <c r="D40" s="15">
        <v>4</v>
      </c>
      <c r="E40" s="15">
        <v>4</v>
      </c>
      <c r="F40" s="39"/>
      <c r="H40" s="8" t="s">
        <v>90</v>
      </c>
      <c r="I40" s="8" t="s">
        <v>138</v>
      </c>
      <c r="J40" s="9">
        <v>1038.75</v>
      </c>
      <c r="K40" s="10">
        <v>4</v>
      </c>
      <c r="L40" s="19">
        <f t="shared" si="1"/>
        <v>259.6875</v>
      </c>
      <c r="M40" s="21">
        <f t="shared" si="4"/>
        <v>2</v>
      </c>
    </row>
    <row r="41" spans="1:13" ht="14.25">
      <c r="A41" s="15" t="s">
        <v>52</v>
      </c>
      <c r="B41" s="41" t="s">
        <v>139</v>
      </c>
      <c r="C41" s="15">
        <v>2755</v>
      </c>
      <c r="D41" s="15">
        <v>8</v>
      </c>
      <c r="E41" s="15">
        <v>18</v>
      </c>
      <c r="F41" s="39"/>
      <c r="H41" s="8" t="s">
        <v>91</v>
      </c>
      <c r="I41" s="8" t="s">
        <v>139</v>
      </c>
      <c r="J41" s="9">
        <v>3673.75</v>
      </c>
      <c r="K41" s="10">
        <v>5</v>
      </c>
      <c r="L41" s="19">
        <f t="shared" si="1"/>
        <v>734.75</v>
      </c>
      <c r="M41" s="21">
        <f t="shared" si="4"/>
        <v>7</v>
      </c>
    </row>
    <row r="42" spans="1:13" ht="14.25">
      <c r="A42" s="15" t="s">
        <v>51</v>
      </c>
      <c r="B42" s="41" t="s">
        <v>140</v>
      </c>
      <c r="C42" s="15">
        <v>8063</v>
      </c>
      <c r="D42" s="15">
        <v>26</v>
      </c>
      <c r="E42" s="15">
        <v>45</v>
      </c>
      <c r="F42" s="39"/>
      <c r="H42" s="8" t="s">
        <v>92</v>
      </c>
      <c r="I42" s="8" t="s">
        <v>140</v>
      </c>
      <c r="J42" s="9">
        <v>8063.5</v>
      </c>
      <c r="K42" s="10">
        <v>45</v>
      </c>
      <c r="L42" s="19">
        <f t="shared" si="1"/>
        <v>179.1888888888889</v>
      </c>
      <c r="M42" s="21">
        <f t="shared" si="4"/>
        <v>16</v>
      </c>
    </row>
    <row r="43" spans="1:13">
      <c r="A43" s="15"/>
      <c r="B43" s="15"/>
      <c r="C43" s="15"/>
      <c r="D43" s="15"/>
      <c r="E43" s="15"/>
      <c r="F43" s="39"/>
    </row>
    <row r="44" spans="1:13">
      <c r="A44" s="15"/>
      <c r="B44" s="15"/>
      <c r="C44" s="15"/>
      <c r="D44" s="15"/>
      <c r="E44" s="15"/>
      <c r="F44" s="39"/>
    </row>
    <row r="45" spans="1:13">
      <c r="A45" s="15" t="s">
        <v>5</v>
      </c>
      <c r="B45" s="15" t="s">
        <v>154</v>
      </c>
      <c r="C45" s="15">
        <v>643</v>
      </c>
      <c r="D45" s="15">
        <v>4</v>
      </c>
      <c r="E45" s="15">
        <v>2</v>
      </c>
      <c r="F45" s="39"/>
    </row>
    <row r="46" spans="1:13">
      <c r="A46" s="15" t="s">
        <v>145</v>
      </c>
      <c r="B46" s="15" t="s">
        <v>124</v>
      </c>
      <c r="C46" s="15">
        <v>856</v>
      </c>
      <c r="D46" s="15">
        <v>2</v>
      </c>
      <c r="E46" s="15">
        <v>4</v>
      </c>
      <c r="F46" s="39"/>
    </row>
    <row r="47" spans="1:13">
      <c r="A47" s="15" t="s">
        <v>9</v>
      </c>
      <c r="B47" s="15" t="s">
        <v>146</v>
      </c>
      <c r="C47" s="15">
        <v>2546</v>
      </c>
      <c r="D47" s="15">
        <v>16</v>
      </c>
      <c r="E47" s="15">
        <v>1</v>
      </c>
      <c r="F47" s="39"/>
    </row>
    <row r="48" spans="1:13">
      <c r="A48" s="15" t="s">
        <v>10</v>
      </c>
      <c r="B48" s="15" t="s">
        <v>148</v>
      </c>
      <c r="C48" s="15">
        <v>3150</v>
      </c>
      <c r="D48" s="15">
        <v>11</v>
      </c>
      <c r="E48" s="15">
        <v>11</v>
      </c>
      <c r="F48" s="39"/>
    </row>
    <row r="49" spans="1:6">
      <c r="A49" s="15" t="s">
        <v>11</v>
      </c>
      <c r="B49" s="15" t="s">
        <v>147</v>
      </c>
      <c r="C49" s="15">
        <v>3293.75</v>
      </c>
      <c r="D49" s="15">
        <v>12</v>
      </c>
      <c r="E49" s="15">
        <v>5</v>
      </c>
      <c r="F49" s="39"/>
    </row>
    <row r="50" spans="1:6">
      <c r="A50" s="15" t="s">
        <v>16</v>
      </c>
      <c r="B50" s="15" t="s">
        <v>150</v>
      </c>
      <c r="C50" s="15">
        <v>170</v>
      </c>
      <c r="D50" s="15">
        <v>2</v>
      </c>
      <c r="E50" s="15">
        <v>1</v>
      </c>
      <c r="F50" s="39"/>
    </row>
    <row r="51" spans="1:6">
      <c r="A51" s="15" t="s">
        <v>17</v>
      </c>
      <c r="B51" s="15" t="s">
        <v>149</v>
      </c>
      <c r="C51" s="15">
        <v>502</v>
      </c>
      <c r="D51" s="15">
        <v>3</v>
      </c>
      <c r="E51" s="15">
        <v>1</v>
      </c>
      <c r="F51" s="39"/>
    </row>
    <row r="52" spans="1:6">
      <c r="A52" s="15" t="s">
        <v>18</v>
      </c>
      <c r="B52" s="41" t="s">
        <v>141</v>
      </c>
      <c r="C52" s="15">
        <v>1416</v>
      </c>
      <c r="D52" s="15">
        <v>7</v>
      </c>
      <c r="E52" s="15">
        <v>1</v>
      </c>
      <c r="F52" s="39"/>
    </row>
    <row r="53" spans="1:6">
      <c r="A53" s="15" t="s">
        <v>19</v>
      </c>
      <c r="B53" s="15" t="s">
        <v>146</v>
      </c>
      <c r="C53" s="15">
        <v>790.5</v>
      </c>
      <c r="D53" s="15">
        <v>5</v>
      </c>
      <c r="E53" s="15">
        <v>20</v>
      </c>
      <c r="F53" s="39"/>
    </row>
    <row r="54" spans="1:6">
      <c r="A54" s="15" t="s">
        <v>97</v>
      </c>
      <c r="B54" s="15" t="s">
        <v>150</v>
      </c>
      <c r="C54" s="15">
        <v>3276.5</v>
      </c>
      <c r="D54" s="15">
        <v>8</v>
      </c>
      <c r="E54" s="15">
        <v>7</v>
      </c>
      <c r="F54" s="39"/>
    </row>
    <row r="55" spans="1:6">
      <c r="A55" s="15" t="s">
        <v>42</v>
      </c>
      <c r="B55" s="15" t="s">
        <v>124</v>
      </c>
      <c r="C55" s="15">
        <v>951</v>
      </c>
      <c r="D55" s="15">
        <v>6</v>
      </c>
      <c r="E55" s="15">
        <v>1</v>
      </c>
      <c r="F55" s="39"/>
    </row>
    <row r="56" spans="1:6">
      <c r="A56" s="15" t="s">
        <v>43</v>
      </c>
      <c r="B56" s="15" t="s">
        <v>151</v>
      </c>
      <c r="C56" s="15">
        <v>1378</v>
      </c>
      <c r="D56" s="15">
        <v>11</v>
      </c>
      <c r="E56" s="15">
        <v>5</v>
      </c>
      <c r="F56" s="39"/>
    </row>
    <row r="57" spans="1:6">
      <c r="A57" s="15" t="s">
        <v>48</v>
      </c>
      <c r="B57" s="15" t="s">
        <v>146</v>
      </c>
      <c r="C57" s="15">
        <v>7535</v>
      </c>
      <c r="D57" s="15">
        <v>72</v>
      </c>
      <c r="E57" s="15">
        <v>10</v>
      </c>
      <c r="F57" s="39"/>
    </row>
    <row r="58" spans="1:6">
      <c r="A58" s="15" t="s">
        <v>50</v>
      </c>
      <c r="B58" s="15" t="s">
        <v>152</v>
      </c>
      <c r="C58" s="15">
        <v>690</v>
      </c>
      <c r="D58" s="15">
        <v>5</v>
      </c>
      <c r="E58" s="15">
        <v>4</v>
      </c>
      <c r="F58" s="39"/>
    </row>
    <row r="59" spans="1:6">
      <c r="A59" s="15" t="s">
        <v>53</v>
      </c>
      <c r="B59" s="15" t="s">
        <v>126</v>
      </c>
      <c r="C59" s="15">
        <v>451.75</v>
      </c>
      <c r="D59" s="15">
        <v>2</v>
      </c>
      <c r="E59" s="15">
        <v>1</v>
      </c>
      <c r="F59" s="39"/>
    </row>
    <row r="60" spans="1:6">
      <c r="A60" s="15" t="s">
        <v>29</v>
      </c>
      <c r="B60" s="15" t="s">
        <v>112</v>
      </c>
      <c r="C60" s="15">
        <v>405</v>
      </c>
      <c r="D60" s="15">
        <v>2</v>
      </c>
      <c r="E60" s="15">
        <v>2</v>
      </c>
      <c r="F60" s="39"/>
    </row>
    <row r="61" spans="1:6">
      <c r="A61" s="15" t="s">
        <v>30</v>
      </c>
      <c r="B61" s="15" t="s">
        <v>150</v>
      </c>
      <c r="C61" s="15">
        <v>328.5</v>
      </c>
      <c r="D61" s="15">
        <v>4</v>
      </c>
      <c r="E61" s="15">
        <v>1</v>
      </c>
      <c r="F61" s="39"/>
    </row>
    <row r="62" spans="1:6">
      <c r="A62" s="15" t="s">
        <v>32</v>
      </c>
      <c r="B62" s="15" t="s">
        <v>146</v>
      </c>
      <c r="C62" s="15">
        <v>7179</v>
      </c>
      <c r="D62" s="15">
        <v>27</v>
      </c>
      <c r="E62" s="15">
        <v>3</v>
      </c>
      <c r="F62" s="39"/>
    </row>
    <row r="63" spans="1:6">
      <c r="A63" s="15" t="s">
        <v>37</v>
      </c>
      <c r="B63" s="15" t="s">
        <v>151</v>
      </c>
      <c r="C63" s="15">
        <v>905</v>
      </c>
      <c r="D63" s="15">
        <v>10</v>
      </c>
      <c r="E63" s="15">
        <v>4</v>
      </c>
      <c r="F63" s="39"/>
    </row>
    <row r="64" spans="1:6">
      <c r="A64" s="15" t="s">
        <v>40</v>
      </c>
      <c r="B64" s="15" t="s">
        <v>140</v>
      </c>
      <c r="C64" s="15">
        <v>2143.5</v>
      </c>
      <c r="D64" s="15">
        <v>6</v>
      </c>
      <c r="E64" s="15">
        <v>1</v>
      </c>
      <c r="F64" s="3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100%</vt:lpstr>
      <vt:lpstr>50%</vt:lpstr>
      <vt:lpstr>75%</vt:lpstr>
      <vt:lpstr>125%</vt:lpstr>
      <vt:lpstr>WIP</vt:lpstr>
      <vt:lpstr>processed</vt:lpstr>
      <vt:lpstr>processing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Hyunwoo</dc:creator>
  <cp:lastModifiedBy>Lee, Hyunwoo</cp:lastModifiedBy>
  <cp:lastPrinted>2024-12-16T14:29:43Z</cp:lastPrinted>
  <dcterms:created xsi:type="dcterms:W3CDTF">2024-12-16T14:02:05Z</dcterms:created>
  <dcterms:modified xsi:type="dcterms:W3CDTF">2025-09-05T00:55:13Z</dcterms:modified>
</cp:coreProperties>
</file>